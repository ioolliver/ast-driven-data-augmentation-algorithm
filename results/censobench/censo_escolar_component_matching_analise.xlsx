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9ba46dde2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529f93da32341ba"/>
    <x:sheet xmlns:r="http://schemas.openxmlformats.org/officeDocument/2006/relationships" name="Por Nível" sheetId="2" r:id="R0b2d87a055454ca9"/>
    <x:sheet xmlns:r="http://schemas.openxmlformats.org/officeDocument/2006/relationships" name="Distribuição" sheetId="3" r:id="R4f842a5c3f4342e7"/>
    <x:sheet xmlns:r="http://schemas.openxmlformats.org/officeDocument/2006/relationships" name="Componentes" sheetId="4" r:id="Ree89ad05bb62427c"/>
    <x:sheet xmlns:r="http://schemas.openxmlformats.org/officeDocument/2006/relationships" name="Extremos" sheetId="5" r:id="R8467bdaaa7cb4cc6"/>
    <x:sheet xmlns:r="http://schemas.openxmlformats.org/officeDocument/2006/relationships" name="Metadados" sheetId="6" r:id="Rf7117f7764a9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17324D"/>
      <x:name val="Carlito"/>
    </x:font>
    <x:font>
      <x:b/>
      <x:sz val="14"/>
      <x:color rgb="FF111827"/>
      <x:name val="Carlito"/>
    </x:font>
    <x:font>
      <x:b/>
      <x:sz val="11"/>
      <x:color rgb="FFFFFFFF"/>
      <x:name val="Carlito"/>
    </x:font>
    <x:font>
      <x:i/>
      <x:sz val="11"/>
      <x:color rgb="FF111827"/>
      <x:name val="Carlito"/>
    </x:font>
    <x:font>
      <x:i/>
      <x:sz val="11"/>
      <x:color rgb="FFC2410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FEDD5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4" fillId="4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f4d6cf4db4a95" /><Relationship Type="http://schemas.openxmlformats.org/officeDocument/2006/relationships/theme" Target="/xl/theme/theme1.xml" Id="R3b128a1730294d45" /><Relationship Type="http://schemas.openxmlformats.org/officeDocument/2006/relationships/sharedStrings" Target="/xl/sharedStrings.xml" Id="Rf311bf7e76aa4a65" /><Relationship Type="http://schemas.openxmlformats.org/officeDocument/2006/relationships/worksheet" Target="/xl/worksheets/sheet1.xml" Id="R4529f93da32341ba" /><Relationship Type="http://schemas.openxmlformats.org/officeDocument/2006/relationships/worksheet" Target="/xl/worksheets/sheet2.xml" Id="R0b2d87a055454ca9" /><Relationship Type="http://schemas.openxmlformats.org/officeDocument/2006/relationships/worksheet" Target="/xl/worksheets/sheet3.xml" Id="R4f842a5c3f4342e7" /><Relationship Type="http://schemas.openxmlformats.org/officeDocument/2006/relationships/worksheet" Target="/xl/worksheets/sheet4.xml" Id="Ree89ad05bb62427c" /><Relationship Type="http://schemas.openxmlformats.org/officeDocument/2006/relationships/worksheet" Target="/xl/worksheets/sheet5.xml" Id="R8467bdaaa7cb4cc6" /><Relationship Type="http://schemas.openxmlformats.org/officeDocument/2006/relationships/worksheet" Target="/xl/worksheets/sheet6.xml" Id="Rf7117f7764a94d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ceaed1a0c7448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557e47a31a04ad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9e070b0a4114b3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cat>
            <c:strRef>
              <c:f>'Resumo'!$A$17:$A$20</c:f>
              <c:strCache>
                <c:ptCount val="0"/>
              </c:strCache>
            </c:strRef>
          </c:cat>
          <c:val>
            <c:numRef>
              <c:f>'Resumo'!$C$17:$C$20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Linhas por faixa de score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cat>
            <c:strRef>
              <c:f>'Distribuição'!$A$6:$A$15</c:f>
              <c:strCache>
                <c:ptCount val="0"/>
              </c:strCache>
            </c:strRef>
          </c:cat>
          <c:val>
            <c:numRef>
              <c:f>'Distribuição'!$B$6:$B$15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Componentes mais alterados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Changed Count</c:v>
          </c:tx>
          <c:cat>
            <c:strRef>
              <c:f>'Componentes'!$A$6:$A$11</c:f>
              <c:strCache>
                <c:ptCount val="0"/>
              </c:strCache>
            </c:strRef>
          </c:cat>
          <c:val>
            <c:numRef>
              <c:f>'Componentes'!$B$6:$B$11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14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ceaed1a0c7448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57e47a31a04ad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e070b0a4114b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onentOverallStats" displayName="ComponentOverallStats" ref="A11:J12" headerRowCount="1">
  <x:tableColumns count="10">
    <x:tableColumn id="1" name="Count"/>
    <x:tableColumn id="2" name="Min"/>
    <x:tableColumn id="3" name="Max"/>
    <x:tableColumn id="4" name="Average"/>
    <x:tableColumn id="5" name="Median"/>
    <x:tableColumn id="6" name="Std Dev"/>
    <x:tableColumn id="7" name="P25"/>
    <x:tableColumn id="8" name="P75"/>
    <x:tableColumn id="9" name="P90"/>
    <x:tableColumn id="10" name="P95"/>
  </x:tableColumns>
  <x:tableStyleInfo name="TableStyleMedium2" showRowStripes="1"/>
</x:table>
</file>

<file path=xl/tables/table2.xml><?xml version="1.0" encoding="utf-8"?>
<x:table xmlns:x="http://schemas.openxmlformats.org/spreadsheetml/2006/main" id="2" name="ComponentLevelSummary" displayName="ComponentLevelSummary" ref="A16:F20" headerRowCount="1">
  <x:tableColumns count="6">
    <x:tableColumn id="1" name="Nível"/>
    <x:tableColumn id="2" name="Count"/>
    <x:tableColumn id="3" name="Average"/>
    <x:tableColumn id="4" name="Median"/>
    <x:tableColumn id="5" name="P90"/>
    <x:tableColumn id="6" name="P95"/>
  </x:tableColumns>
  <x:tableStyleInfo name="TableStyleMedium2" showRowStripes="1"/>
</x:table>
</file>

<file path=xl/tables/table3.xml><?xml version="1.0" encoding="utf-8"?>
<x:table xmlns:x="http://schemas.openxmlformats.org/spreadsheetml/2006/main" id="3" name="ComponentByLevel" displayName="ComponentByLevel" ref="A5:K9" headerRowCount="1">
  <x:tableColumns count="11">
    <x:tableColumn id="1" name="Nível"/>
    <x:tableColumn id="2" name="Count"/>
    <x:tableColumn id="3" name="Min"/>
    <x:tableColumn id="4" name="Max"/>
    <x:tableColumn id="5" name="Average"/>
    <x:tableColumn id="6" name="Median"/>
    <x:tableColumn id="7" name="Std Dev"/>
    <x:tableColumn id="8" name="P25"/>
    <x:tableColumn id="9" name="P75"/>
    <x:tableColumn id="10" name="P90"/>
    <x:tableColumn id="11" name="P95"/>
  </x:tableColumns>
  <x:tableStyleInfo name="TableStyleMedium2" showRowStripes="1"/>
</x:table>
</file>

<file path=xl/tables/table4.xml><?xml version="1.0" encoding="utf-8"?>
<x:table xmlns:x="http://schemas.openxmlformats.org/spreadsheetml/2006/main" id="4" name="ComponentScoreBands" displayName="ComponentScoreBands" ref="A5:B15" headerRowCount="1">
  <x:tableColumns count="2">
    <x:tableColumn id="1" name="Score Band"/>
    <x:tableColumn id="2" name="Rows"/>
  </x:tableColumns>
  <x:tableStyleInfo name="TableStyleMedium2" showRowStripes="1"/>
</x:table>
</file>

<file path=xl/tables/table5.xml><?xml version="1.0" encoding="utf-8"?>
<x:table xmlns:x="http://schemas.openxmlformats.org/spreadsheetml/2006/main" id="5" name="ChangedComponentFamilies" displayName="ChangedComponentFamilies" ref="A5:B11" headerRowCount="1">
  <x:tableColumns count="2">
    <x:tableColumn id="1" name="Component Family"/>
    <x:tableColumn id="2" name="Changed Count"/>
  </x:tableColumns>
  <x:tableStyleInfo name="TableStyleMedium2" showRowStripes="1"/>
</x:table>
</file>

<file path=xl/tables/table6.xml><?xml version="1.0" encoding="utf-8"?>
<x:table xmlns:x="http://schemas.openxmlformats.org/spreadsheetml/2006/main" id="6" name="ComponentExtremes" displayName="ComponentExtremes" ref="A5:G25" headerRowCount="1">
  <x:tableColumns count="7">
    <x:tableColumn id="1" name="Grupo"/>
    <x:tableColumn id="2" name="Rank"/>
    <x:tableColumn id="3" name="Row Index"/>
    <x:tableColumn id="4" name="Level"/>
    <x:tableColumn id="5" name="Components"/>
    <x:tableColumn id="6" name="Changed"/>
    <x:tableColumn id="7" name="Score"/>
  </x:tableColumns>
  <x:tableStyleInfo name="TableStyleMedium2" showRowStripes="1"/>
</x:table>
</file>

<file path=xl/tables/table7.xml><?xml version="1.0" encoding="utf-8"?>
<x:table xmlns:x="http://schemas.openxmlformats.org/spreadsheetml/2006/main" id="7" name="ComponentMetadata" displayName="ComponentMetadata" ref="A5:B10" headerRowCount="1">
  <x:tableColumns count="2">
    <x:tableColumn id="1" name="Campo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beb3baed8d48a4" /><Relationship Type="http://schemas.openxmlformats.org/officeDocument/2006/relationships/table" Target="/xl/tables/table1.xml" Id="Ra4dbcf91691d48df" /><Relationship Type="http://schemas.openxmlformats.org/officeDocument/2006/relationships/table" Target="/xl/tables/table2.xml" Id="R799c3a254b9948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6fc8234c5c604f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f98896facd8426f" /><Relationship Type="http://schemas.openxmlformats.org/officeDocument/2006/relationships/table" Target="/xl/tables/table4.xml" Id="Re69f20e283c44b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039b1fa60f442d7" /><Relationship Type="http://schemas.openxmlformats.org/officeDocument/2006/relationships/table" Target="/xl/tables/table5.xml" Id="R684099b9982143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f56712774ff04f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1359fd93db21455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6" customHeight="1">
      <x:c r="A1" s="76" t="str">
        <x:v>Análise de Component Matching — Censo Escolar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52"/>
      <x:c r="L1" s="52"/>
      <x:c r="M1" s="52"/>
      <x:c r="N1" s="52"/>
    </x:row>
    <x:row r="2" ht="26" customHeight="1">
      <x:c r="A2" s="76"/>
      <x:c r="B2" s="76"/>
      <x:c r="C2" s="76"/>
      <x:c r="D2" s="76"/>
      <x:c r="E2" s="76"/>
      <x:c r="F2" s="76"/>
      <x:c r="G2" s="76"/>
      <x:c r="H2" s="76"/>
      <x:c r="I2" s="76"/>
      <x:c r="J2" s="76"/>
      <x:c r="K2" s="52"/>
      <x:c r="L2" s="52"/>
      <x:c r="M2" s="52"/>
      <x:c r="N2" s="52"/>
    </x:row>
    <x:row r="3" ht="24" customHeight="1">
      <x:c r="A3" s="13" t="str">
        <x:v>Relatório estruturado a partir do Markdown original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52"/>
      <x:c r="L3" s="52"/>
      <x:c r="M3" s="52"/>
      <x:c r="N3" s="52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</x:row>
    <x:row r="5">
      <x:c r="A5" s="21" t="str">
        <x:v>Linhas analisadas</x:v>
      </x:c>
      <x:c r="B5" s="21"/>
      <x:c r="C5" s="21" t="str">
        <x:v>Score médio</x:v>
      </x:c>
      <x:c r="D5" s="21"/>
      <x:c r="E5" s="21" t="str">
        <x:v>Mediana</x:v>
      </x:c>
      <x:c r="F5" s="21"/>
      <x:c r="G5" s="21" t="str">
        <x:v>SQL sem mudanças</x:v>
      </x:c>
      <x:c r="H5" s="21"/>
      <x:c r="I5" s="52"/>
      <x:c r="J5" s="52"/>
      <x:c r="K5" s="52"/>
      <x:c r="L5" s="52"/>
      <x:c r="M5" s="52"/>
      <x:c r="N5" s="52"/>
    </x:row>
    <x:row r="6">
      <x:c r="A6" s="77" t="n">
        <x:v>107</x:v>
      </x:c>
      <x:c r="B6" s="77"/>
      <x:c r="C6" s="78" t="n">
        <x:v>0.298016</x:v>
      </x:c>
      <x:c r="D6" s="78"/>
      <x:c r="E6" s="78" t="n">
        <x:v>0.28</x:v>
      </x:c>
      <x:c r="F6" s="78"/>
      <x:c r="G6" s="77" t="n">
        <x:v>4</x:v>
      </x:c>
      <x:c r="H6" s="77"/>
      <x:c r="I6" s="52"/>
      <x:c r="J6" s="52"/>
      <x:c r="K6" s="52"/>
      <x:c r="L6" s="52"/>
      <x:c r="M6" s="52"/>
      <x:c r="N6" s="52"/>
    </x:row>
    <x:row r="7">
      <x:c r="A7" s="77"/>
      <x:c r="B7" s="77"/>
      <x:c r="C7" s="78"/>
      <x:c r="D7" s="78"/>
      <x:c r="E7" s="78"/>
      <x:c r="F7" s="78"/>
      <x:c r="G7" s="77"/>
      <x:c r="H7" s="77"/>
      <x:c r="I7" s="52"/>
      <x:c r="J7" s="52"/>
      <x:c r="K7" s="52"/>
      <x:c r="L7" s="52"/>
      <x:c r="M7" s="52"/>
      <x:c r="N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</x:row>
    <x:row r="10">
      <x:c r="A10" s="79" t="str">
        <x:v>Estatísticas gerais</x:v>
      </x:c>
      <x:c r="B10" s="79"/>
      <x:c r="C10" s="79"/>
      <x:c r="D10" s="79"/>
      <x:c r="E10" s="79"/>
      <x:c r="F10" s="79"/>
      <x:c r="G10" s="79"/>
      <x:c r="H10" s="79"/>
      <x:c r="I10" s="79"/>
      <x:c r="J10" s="79"/>
      <x:c r="K10" s="52"/>
      <x:c r="L10" s="52"/>
      <x:c r="M10" s="52"/>
      <x:c r="N10" s="52"/>
    </x:row>
    <x:row r="11">
      <x:c r="A11" s="47" t="str">
        <x:v>Count</x:v>
      </x:c>
      <x:c r="B11" s="47" t="str">
        <x:v>Min</x:v>
      </x:c>
      <x:c r="C11" s="47" t="str">
        <x:v>Max</x:v>
      </x:c>
      <x:c r="D11" s="47" t="str">
        <x:v>Average</x:v>
      </x:c>
      <x:c r="E11" s="47" t="str">
        <x:v>Median</x:v>
      </x:c>
      <x:c r="F11" s="47" t="str">
        <x:v>Std Dev</x:v>
      </x:c>
      <x:c r="G11" s="47" t="str">
        <x:v>P25</x:v>
      </x:c>
      <x:c r="H11" s="47" t="str">
        <x:v>P75</x:v>
      </x:c>
      <x:c r="I11" s="47" t="str">
        <x:v>P90</x:v>
      </x:c>
      <x:c r="J11" s="47" t="str">
        <x:v>P95</x:v>
      </x:c>
      <x:c r="K11" s="52"/>
      <x:c r="L11" s="52"/>
      <x:c r="M11" s="52"/>
      <x:c r="N11" s="52"/>
    </x:row>
    <x:row r="12">
      <x:c r="A12" s="58" t="n">
        <x:v>107</x:v>
      </x:c>
      <x:c r="B12" s="56" t="n">
        <x:v>0</x:v>
      </x:c>
      <x:c r="C12" s="56" t="n">
        <x:v>0.84</x:v>
      </x:c>
      <x:c r="D12" s="56" t="n">
        <x:v>0.298016</x:v>
      </x:c>
      <x:c r="E12" s="56" t="n">
        <x:v>0.28</x:v>
      </x:c>
      <x:c r="F12" s="56" t="n">
        <x:v>0.164541</x:v>
      </x:c>
      <x:c r="G12" s="56" t="n">
        <x:v>0.183036</x:v>
      </x:c>
      <x:c r="H12" s="56" t="n">
        <x:v>0.394444</x:v>
      </x:c>
      <x:c r="I12" s="56" t="n">
        <x:v>0.5</x:v>
      </x:c>
      <x:c r="J12" s="56" t="n">
        <x:v>0.613534</x:v>
      </x:c>
      <x:c r="K12" s="52"/>
      <x:c r="L12" s="52"/>
      <x:c r="M12" s="52"/>
      <x:c r="N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</x:row>
    <x:row r="15">
      <x:c r="A15" s="79" t="str">
        <x:v>Resumo por nível</x:v>
      </x:c>
      <x:c r="B15" s="79"/>
      <x:c r="C15" s="79"/>
      <x:c r="D15" s="79"/>
      <x:c r="E15" s="79"/>
      <x:c r="F15" s="79"/>
      <x:c r="G15" s="52"/>
      <x:c r="H15" s="52"/>
      <x:c r="I15" s="52"/>
      <x:c r="J15" s="52"/>
      <x:c r="K15" s="52"/>
      <x:c r="L15" s="52"/>
      <x:c r="M15" s="52"/>
      <x:c r="N15" s="52"/>
    </x:row>
    <x:row r="16">
      <x:c r="A16" s="47" t="str">
        <x:v>Nível</x:v>
      </x:c>
      <x:c r="B16" s="47" t="str">
        <x:v>Count</x:v>
      </x:c>
      <x:c r="C16" s="47" t="str">
        <x:v>Average</x:v>
      </x:c>
      <x:c r="D16" s="47" t="str">
        <x:v>Median</x:v>
      </x:c>
      <x:c r="E16" s="47" t="str">
        <x:v>P90</x:v>
      </x:c>
      <x:c r="F16" s="47" t="str">
        <x:v>P95</x:v>
      </x:c>
      <x:c r="G16" s="52"/>
      <x:c r="H16" s="52"/>
      <x:c r="I16" s="52"/>
      <x:c r="J16" s="52"/>
      <x:c r="K16" s="52"/>
      <x:c r="L16" s="52"/>
      <x:c r="M16" s="52"/>
      <x:c r="N16" s="52"/>
    </x:row>
    <x:row r="17">
      <x:c r="A17" s="54" t="str">
        <x:v>Fácil</x:v>
      </x:c>
      <x:c r="B17" s="58" t="n">
        <x:v>46</x:v>
      </x:c>
      <x:c r="C17" s="56" t="n">
        <x:v>0.369904</x:v>
      </x:c>
      <x:c r="D17" s="56" t="n">
        <x:v>0.333333</x:v>
      </x:c>
      <x:c r="E17" s="56" t="n">
        <x:v>0.598398</x:v>
      </x:c>
      <x:c r="F17" s="56" t="n">
        <x:v>0.659091</x:v>
      </x:c>
      <x:c r="G17" s="52"/>
      <x:c r="H17" s="52"/>
      <x:c r="I17" s="52"/>
      <x:c r="J17" s="52"/>
      <x:c r="K17" s="52"/>
      <x:c r="L17" s="52"/>
      <x:c r="M17" s="52"/>
      <x:c r="N17" s="52"/>
    </x:row>
    <x:row r="18">
      <x:c r="A18" s="54" t="str">
        <x:v>Média</x:v>
      </x:c>
      <x:c r="B18" s="58" t="n">
        <x:v>29</x:v>
      </x:c>
      <x:c r="C18" s="56" t="n">
        <x:v>0.254002</x:v>
      </x:c>
      <x:c r="D18" s="56" t="n">
        <x:v>0.233333</x:v>
      </x:c>
      <x:c r="E18" s="56" t="n">
        <x:v>0.387455</x:v>
      </x:c>
      <x:c r="F18" s="56" t="n">
        <x:v>0.455556</x:v>
      </x:c>
      <x:c r="G18" s="52"/>
      <x:c r="H18" s="52"/>
      <x:c r="I18" s="52"/>
      <x:c r="J18" s="52"/>
      <x:c r="K18" s="52"/>
      <x:c r="L18" s="52"/>
      <x:c r="M18" s="52"/>
      <x:c r="N18" s="52"/>
    </x:row>
    <x:row r="19">
      <x:c r="A19" s="54" t="str">
        <x:v>Difícil</x:v>
      </x:c>
      <x:c r="B19" s="58" t="n">
        <x:v>8</x:v>
      </x:c>
      <x:c r="C19" s="56" t="n">
        <x:v>0.139205</x:v>
      </x:c>
      <x:c r="D19" s="56" t="n">
        <x:v>0.15</x:v>
      </x:c>
      <x:c r="E19" s="56" t="n">
        <x:v>0.284091</x:v>
      </x:c>
      <x:c r="F19" s="56" t="n">
        <x:v>0.323864</x:v>
      </x:c>
      <x:c r="G19" s="52"/>
      <x:c r="H19" s="52"/>
      <x:c r="I19" s="52"/>
      <x:c r="J19" s="52"/>
      <x:c r="K19" s="52"/>
      <x:c r="L19" s="52"/>
      <x:c r="M19" s="52"/>
      <x:c r="N19" s="52"/>
    </x:row>
    <x:row r="20">
      <x:c r="A20" s="54" t="str">
        <x:v>Muito Difícil</x:v>
      </x:c>
      <x:c r="B20" s="58" t="n">
        <x:v>24</x:v>
      </x:c>
      <x:c r="C20" s="56" t="n">
        <x:v>0.26635</x:v>
      </x:c>
      <x:c r="D20" s="56" t="n">
        <x:v>0.225</x:v>
      </x:c>
      <x:c r="E20" s="56" t="n">
        <x:v>0.5</x:v>
      </x:c>
      <x:c r="F20" s="56" t="n">
        <x:v>0.5</x:v>
      </x:c>
      <x:c r="G20" s="52"/>
      <x:c r="H20" s="52"/>
      <x:c r="I20" s="52"/>
      <x:c r="J20" s="52"/>
      <x:c r="K20" s="52"/>
      <x:c r="L20" s="52"/>
      <x:c r="M20" s="52"/>
      <x:c r="N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</x:row>
    <x:row r="23">
      <x:c r="A23" s="63" t="str">
        <x:v>component_matching_score is the share of normalized SQL AST component slots that changed between the original and augmented SQL.</x:v>
      </x:c>
      <x:c r="B23" s="63"/>
      <x:c r="C23" s="63"/>
      <x:c r="D23" s="63"/>
      <x:c r="E23" s="63"/>
      <x:c r="F23" s="63"/>
      <x:c r="G23" s="63"/>
      <x:c r="H23" s="63"/>
      <x:c r="I23" s="63"/>
      <x:c r="J23" s="63"/>
      <x:c r="K23" s="52"/>
      <x:c r="L23" s="52"/>
      <x:c r="M23" s="52"/>
      <x:c r="N23" s="52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52"/>
      <x:c r="L24" s="52"/>
      <x:c r="M24" s="52"/>
      <x:c r="N24" s="52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52"/>
      <x:c r="L25" s="52"/>
      <x:c r="M25" s="52"/>
      <x:c r="N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</x:row>
    <x:row r="27">
      <x:c r="A27" s="71" t="str">
        <x:v>Limitação: This score is a structural-change heuristic over normalized SQL AST components. It is interpretable, but it does not prove SQL correctness, behavioral equivalence, or natural-language alignment.</x:v>
      </x:c>
      <x:c r="B27" s="71"/>
      <x:c r="C27" s="71"/>
      <x:c r="D27" s="71"/>
      <x:c r="E27" s="71"/>
      <x:c r="F27" s="71"/>
      <x:c r="G27" s="71"/>
      <x:c r="H27" s="71"/>
      <x:c r="I27" s="71"/>
      <x:c r="J27" s="71"/>
      <x:c r="K27" s="52"/>
      <x:c r="L27" s="52"/>
      <x:c r="M27" s="52"/>
      <x:c r="N27" s="52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52"/>
      <x:c r="L28" s="52"/>
      <x:c r="M28" s="52"/>
      <x:c r="N28" s="52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52"/>
      <x:c r="L29" s="52"/>
      <x:c r="M29" s="52"/>
      <x:c r="N29" s="52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52"/>
      <x:c r="L30" s="52"/>
      <x:c r="M30" s="52"/>
      <x:c r="N30" s="52"/>
    </x:row>
  </x:sheetData>
  <x:mergeCells>
    <x:mergeCell ref="A1:J2"/>
    <x:mergeCell ref="A3:J3"/>
    <x:mergeCell ref="A5:B5"/>
    <x:mergeCell ref="A6:B7"/>
    <x:mergeCell ref="C5:D5"/>
    <x:mergeCell ref="C6:D7"/>
    <x:mergeCell ref="E5:F5"/>
    <x:mergeCell ref="E6:F7"/>
    <x:mergeCell ref="G5:H5"/>
    <x:mergeCell ref="G6:H7"/>
    <x:mergeCell ref="A10:J10"/>
    <x:mergeCell ref="A15:F15"/>
    <x:mergeCell ref="A23:J25"/>
    <x:mergeCell ref="A27:J30"/>
  </x:mergeCells>
  <x:conditionalFormatting sqref="C17:F20">
    <x:cfRule type="colorScale" priority="1">
      <x:colorScale>
        <x:cfvo type="min"/>
        <x:cfvo type="percentile" val="50"/>
        <x:cfvo type="max"/>
        <x:color rgb="FFE0F2FE"/>
        <x:color rgb="FFFDE68A"/>
        <x:color rgb="FFFCA5A5"/>
      </x:colorScale>
    </x:cfRule>
  </x:conditionalFormatting>
  <x:pageMargins left="0.7" right="0.7" top="0.75" bottom="0.75" header="0.3" footer="0.3"/>
  <x:drawing xmlns:r="http://schemas.openxmlformats.org/officeDocument/2006/relationships" r:id="Re2beb3baed8d48a4"/>
  <x:tableParts count="2">
    <x:tablePart xmlns:r="http://schemas.openxmlformats.org/officeDocument/2006/relationships" r:id="Ra4dbcf91691d48df"/>
    <x:tablePart xmlns:r="http://schemas.openxmlformats.org/officeDocument/2006/relationships" r:id="R799c3a254b9948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.630000114440918" hidden="0" customWidth="1"/>
    <x:col min="3" max="3" width="7.5" hidden="0" customWidth="1"/>
    <x:col min="4" max="4" width="7.5" hidden="0" customWidth="1"/>
    <x:col min="5" max="5" width="9.130000114440918" hidden="0" customWidth="1"/>
    <x:col min="6" max="6" width="8.880000114440918" hidden="0" customWidth="1"/>
    <x:col min="7" max="7" width="8.880000114440918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</x:cols>
  <x:sheetData>
    <x:row r="1" ht="26" customHeight="1">
      <x:c r="A1" s="5" t="str">
        <x:v>Estatísticas por nível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13" t="str">
        <x:v>Comparação das distribuições de component_matching_score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>
      <x:c r="A5" s="47" t="str">
        <x:v>Nível</x:v>
      </x:c>
      <x:c r="B5" s="47" t="str">
        <x:v>Count</x:v>
      </x:c>
      <x:c r="C5" s="47" t="str">
        <x:v>Min</x:v>
      </x:c>
      <x:c r="D5" s="47" t="str">
        <x:v>Max</x:v>
      </x:c>
      <x:c r="E5" s="47" t="str">
        <x:v>Average</x:v>
      </x:c>
      <x:c r="F5" s="47" t="str">
        <x:v>Median</x:v>
      </x:c>
      <x:c r="G5" s="47" t="str">
        <x:v>Std Dev</x:v>
      </x:c>
      <x:c r="H5" s="47" t="str">
        <x:v>P25</x:v>
      </x:c>
      <x:c r="I5" s="47" t="str">
        <x:v>P75</x:v>
      </x:c>
      <x:c r="J5" s="47" t="str">
        <x:v>P90</x:v>
      </x:c>
      <x:c r="K5" s="47" t="str">
        <x:v>P95</x:v>
      </x:c>
    </x:row>
    <x:row r="6">
      <x:c r="A6" s="54" t="str">
        <x:v>Fácil</x:v>
      </x:c>
      <x:c r="B6" s="58" t="n">
        <x:v>46</x:v>
      </x:c>
      <x:c r="C6" s="56" t="n">
        <x:v>0</x:v>
      </x:c>
      <x:c r="D6" s="56" t="n">
        <x:v>0.84</x:v>
      </x:c>
      <x:c r="E6" s="56" t="n">
        <x:v>0.369904</x:v>
      </x:c>
      <x:c r="F6" s="56" t="n">
        <x:v>0.333333</x:v>
      </x:c>
      <x:c r="G6" s="56" t="n">
        <x:v>0.162747</x:v>
      </x:c>
      <x:c r="H6" s="56" t="n">
        <x:v>0.278075</x:v>
      </x:c>
      <x:c r="I6" s="56" t="n">
        <x:v>0.43135</x:v>
      </x:c>
      <x:c r="J6" s="56" t="n">
        <x:v>0.598398</x:v>
      </x:c>
      <x:c r="K6" s="56" t="n">
        <x:v>0.659091</x:v>
      </x:c>
    </x:row>
    <x:row r="7">
      <x:c r="A7" s="54" t="str">
        <x:v>Média</x:v>
      </x:c>
      <x:c r="B7" s="58" t="n">
        <x:v>29</x:v>
      </x:c>
      <x:c r="C7" s="56" t="n">
        <x:v>0.121212</x:v>
      </x:c>
      <x:c r="D7" s="56" t="n">
        <x:v>0.657143</x:v>
      </x:c>
      <x:c r="E7" s="56" t="n">
        <x:v>0.254002</x:v>
      </x:c>
      <x:c r="F7" s="56" t="n">
        <x:v>0.233333</x:v>
      </x:c>
      <x:c r="G7" s="56" t="n">
        <x:v>0.11201</x:v>
      </x:c>
      <x:c r="H7" s="56" t="n">
        <x:v>0.192308</x:v>
      </x:c>
      <x:c r="I7" s="56" t="n">
        <x:v>0.28</x:v>
      </x:c>
      <x:c r="J7" s="56" t="n">
        <x:v>0.387455</x:v>
      </x:c>
      <x:c r="K7" s="56" t="n">
        <x:v>0.455556</x:v>
      </x:c>
    </x:row>
    <x:row r="8">
      <x:c r="A8" s="54" t="str">
        <x:v>Difícil</x:v>
      </x:c>
      <x:c r="B8" s="58" t="n">
        <x:v>8</x:v>
      </x:c>
      <x:c r="C8" s="56" t="n">
        <x:v>0</x:v>
      </x:c>
      <x:c r="D8" s="56" t="n">
        <x:v>0.363636</x:v>
      </x:c>
      <x:c r="E8" s="56" t="n">
        <x:v>0.139205</x:v>
      </x:c>
      <x:c r="F8" s="56" t="n">
        <x:v>0.15</x:v>
      </x:c>
      <x:c r="G8" s="56" t="n">
        <x:v>0.125132</x:v>
      </x:c>
      <x:c r="H8" s="56" t="n">
        <x:v>0</x:v>
      </x:c>
      <x:c r="I8" s="56" t="n">
        <x:v>0.2125</x:v>
      </x:c>
      <x:c r="J8" s="56" t="n">
        <x:v>0.284091</x:v>
      </x:c>
      <x:c r="K8" s="56" t="n">
        <x:v>0.323864</x:v>
      </x:c>
    </x:row>
    <x:row r="9">
      <x:c r="A9" s="54" t="str">
        <x:v>Muito Difícil</x:v>
      </x:c>
      <x:c r="B9" s="58" t="n">
        <x:v>24</x:v>
      </x:c>
      <x:c r="C9" s="56" t="n">
        <x:v>0.052632</x:v>
      </x:c>
      <x:c r="D9" s="56" t="n">
        <x:v>0.571429</x:v>
      </x:c>
      <x:c r="E9" s="56" t="n">
        <x:v>0.26635</x:v>
      </x:c>
      <x:c r="F9" s="56" t="n">
        <x:v>0.225</x:v>
      </x:c>
      <x:c r="G9" s="56" t="n">
        <x:v>0.16704</x:v>
      </x:c>
      <x:c r="H9" s="56" t="n">
        <x:v>0.095238</x:v>
      </x:c>
      <x:c r="I9" s="56" t="n">
        <x:v>0.404167</x:v>
      </x:c>
      <x:c r="J9" s="56" t="n">
        <x:v>0.5</x:v>
      </x:c>
      <x:c r="K9" s="56" t="n">
        <x:v>0.5</x:v>
      </x:c>
    </x:row>
  </x:sheetData>
  <x:mergeCells>
    <x:mergeCell ref="A1:J2"/>
    <x:mergeCell ref="A3:J3"/>
  </x:mergeCells>
  <x:conditionalFormatting sqref="C6:K9">
    <x:cfRule type="colorScale" priority="1">
      <x:colorScale>
        <x:cfvo type="min"/>
        <x:cfvo type="percentile" val="50"/>
        <x:cfvo type="max"/>
        <x:color rgb="FFE0F2FE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fc8234c5c604f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</x:cols>
  <x:sheetData>
    <x:row r="1" ht="26" customHeight="1">
      <x:c r="A1" s="5" t="str">
        <x:v>Distribuição por faixas de score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13" t="str">
        <x:v>Contagem de linhas em cada intervalo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>
      <x:c r="A5" s="47" t="str">
        <x:v>Score Band</x:v>
      </x:c>
      <x:c r="B5" s="47" t="str">
        <x:v>Rows</x:v>
      </x:c>
    </x:row>
    <x:row r="6">
      <x:c r="A6" s="54" t="str">
        <x:v>[0.0, 0.1)</x:v>
      </x:c>
      <x:c r="B6" s="58" t="n">
        <x:v>12</x:v>
      </x:c>
    </x:row>
    <x:row r="7">
      <x:c r="A7" s="54" t="str">
        <x:v>[0.1, 0.2)</x:v>
      </x:c>
      <x:c r="B7" s="58" t="n">
        <x:v>17</x:v>
      </x:c>
    </x:row>
    <x:row r="8">
      <x:c r="A8" s="54" t="str">
        <x:v>[0.2, 0.3)</x:v>
      </x:c>
      <x:c r="B8" s="58" t="n">
        <x:v>28</x:v>
      </x:c>
    </x:row>
    <x:row r="9">
      <x:c r="A9" s="54" t="str">
        <x:v>[0.3, 0.4)</x:v>
      </x:c>
      <x:c r="B9" s="58" t="n">
        <x:v>23</x:v>
      </x:c>
    </x:row>
    <x:row r="10">
      <x:c r="A10" s="54" t="str">
        <x:v>[0.4, 0.5)</x:v>
      </x:c>
      <x:c r="B10" s="58" t="n">
        <x:v>12</x:v>
      </x:c>
    </x:row>
    <x:row r="11">
      <x:c r="A11" s="54" t="str">
        <x:v>[0.5, 0.6)</x:v>
      </x:c>
      <x:c r="B11" s="58" t="n">
        <x:v>9</x:v>
      </x:c>
    </x:row>
    <x:row r="12">
      <x:c r="A12" s="54" t="str">
        <x:v>[0.6, 0.7)</x:v>
      </x:c>
      <x:c r="B12" s="58" t="n">
        <x:v>4</x:v>
      </x:c>
    </x:row>
    <x:row r="13">
      <x:c r="A13" s="54" t="str">
        <x:v>[0.7, 0.8)</x:v>
      </x:c>
      <x:c r="B13" s="58" t="n">
        <x:v>1</x:v>
      </x:c>
    </x:row>
    <x:row r="14">
      <x:c r="A14" s="54" t="str">
        <x:v>[0.8, 0.9)</x:v>
      </x:c>
      <x:c r="B14" s="58" t="n">
        <x:v>1</x:v>
      </x:c>
    </x:row>
    <x:row r="15">
      <x:c r="A15" s="54" t="str">
        <x:v>[0.9, 1.0]</x:v>
      </x:c>
      <x:c r="B15" s="58" t="n">
        <x:v>0</x:v>
      </x:c>
    </x:row>
  </x:sheetData>
  <x:mergeCells>
    <x:mergeCell ref="A1:J2"/>
    <x:mergeCell ref="A3:J3"/>
  </x:mergeCells>
  <x:conditionalFormatting sqref="B6:B15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{3DAAD118-0C1B-EA92-D315-1BFD578CB095}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f98896facd8426f"/>
  <x:tableParts count="1">
    <x:tablePart xmlns:r="http://schemas.openxmlformats.org/officeDocument/2006/relationships" r:id="Re69f20e283c44bd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DAAD118-0C1B-EA92-D315-1BFD578CB095}">
            <x14:dataBar gradient="1">
              <x14:cfvo type="min"/>
              <x14:cfvo type="max"/>
              <x14:fillColor rgb="FF2563EB"/>
            </x14:dataBar>
          </x14:cfRule>
          <xm:sqref>B6:B15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 ht="26" customHeight="1">
      <x:c r="A1" s="5" t="str">
        <x:v>Famílias de componentes alteradas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13" t="str">
        <x:v>Frequência de mudança por família do AST normalizado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>
      <x:c r="A5" s="47" t="str">
        <x:v>Component Family</x:v>
      </x:c>
      <x:c r="B5" s="47" t="str">
        <x:v>Changed Count</x:v>
      </x:c>
    </x:row>
    <x:row r="6">
      <x:c r="A6" s="54" t="str">
        <x:v>aggregation</x:v>
      </x:c>
      <x:c r="B6" s="58" t="n">
        <x:v>280</x:v>
      </x:c>
    </x:row>
    <x:row r="7">
      <x:c r="A7" s="54" t="str">
        <x:v>predicate</x:v>
      </x:c>
      <x:c r="B7" s="58" t="n">
        <x:v>258</x:v>
      </x:c>
    </x:row>
    <x:row r="8">
      <x:c r="A8" s="54" t="str">
        <x:v>select</x:v>
      </x:c>
      <x:c r="B8" s="58" t="n">
        <x:v>48</x:v>
      </x:c>
    </x:row>
    <x:row r="9">
      <x:c r="A9" s="54" t="str">
        <x:v>spatial_function</x:v>
      </x:c>
      <x:c r="B9" s="58" t="n">
        <x:v>36</x:v>
      </x:c>
    </x:row>
    <x:row r="10">
      <x:c r="A10" s="54" t="str">
        <x:v>group_by</x:v>
      </x:c>
      <x:c r="B10" s="58" t="n">
        <x:v>6</x:v>
      </x:c>
    </x:row>
    <x:row r="11">
      <x:c r="A11" s="54" t="str">
        <x:v>order_by</x:v>
      </x:c>
      <x:c r="B11" s="58" t="n">
        <x:v>1</x:v>
      </x:c>
    </x:row>
  </x:sheetData>
  <x:mergeCells>
    <x:mergeCell ref="A1:J2"/>
    <x:mergeCell ref="A3:J3"/>
  </x:mergeCells>
  <x:conditionalFormatting sqref="B6:B1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{AC554F61-A2D5-37E9-EBBE-092DADC62157}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039b1fa60f442d7"/>
  <x:tableParts count="1">
    <x:tablePart xmlns:r="http://schemas.openxmlformats.org/officeDocument/2006/relationships" r:id="R684099b99821431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C554F61-A2D5-37E9-EBBE-092DADC62157}">
            <x14:dataBar gradient="1">
              <x14:cfvo type="min"/>
              <x14:cfvo type="max"/>
              <x14:fillColor rgb="FF0F766E"/>
            </x14:dataBar>
          </x14:cfRule>
          <xm:sqref>B6:B11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.880000114440918" hidden="0" customWidth="1"/>
    <x:col min="3" max="3" width="11" hidden="0" customWidth="1"/>
    <x:col min="4" max="4" width="18" hidden="0" customWidth="1"/>
    <x:col min="5" max="5" width="12.75" hidden="0" customWidth="1"/>
    <x:col min="6" max="6" width="9.630000114440918" hidden="0" customWidth="1"/>
    <x:col min="7" max="7" width="7.5" hidden="0" customWidth="1"/>
  </x:cols>
  <x:sheetData>
    <x:row r="1" ht="26" customHeight="1">
      <x:c r="A1" s="5" t="str">
        <x:v>Menores e maiores scores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13" t="str">
        <x:v>Linhas com menor e maior variação estrutural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>
      <x:c r="A5" s="47" t="str">
        <x:v>Grupo</x:v>
      </x:c>
      <x:c r="B5" s="47" t="str">
        <x:v>Rank</x:v>
      </x:c>
      <x:c r="C5" s="47" t="str">
        <x:v>Row Index</x:v>
      </x:c>
      <x:c r="D5" s="47" t="str">
        <x:v>Level</x:v>
      </x:c>
      <x:c r="E5" s="47" t="str">
        <x:v>Components</x:v>
      </x:c>
      <x:c r="F5" s="47" t="str">
        <x:v>Changed</x:v>
      </x:c>
      <x:c r="G5" s="47" t="str">
        <x:v>Score</x:v>
      </x:c>
    </x:row>
    <x:row r="6">
      <x:c r="A6" s="54" t="str">
        <x:v>Menor</x:v>
      </x:c>
      <x:c r="B6" s="58" t="n">
        <x:v>1</x:v>
      </x:c>
      <x:c r="C6" s="58" t="n">
        <x:v>1</x:v>
      </x:c>
      <x:c r="D6" s="54" t="str">
        <x:v>Fácil</x:v>
      </x:c>
      <x:c r="E6" s="58" t="n">
        <x:v>14</x:v>
      </x:c>
      <x:c r="F6" s="58" t="n">
        <x:v>0</x:v>
      </x:c>
      <x:c r="G6" s="56" t="n">
        <x:v>0</x:v>
      </x:c>
    </x:row>
    <x:row r="7">
      <x:c r="A7" s="54" t="str">
        <x:v>Menor</x:v>
      </x:c>
      <x:c r="B7" s="58" t="n">
        <x:v>2</x:v>
      </x:c>
      <x:c r="C7" s="58" t="n">
        <x:v>12</x:v>
      </x:c>
      <x:c r="D7" s="54" t="str">
        <x:v>Difícil</x:v>
      </x:c>
      <x:c r="E7" s="58" t="n">
        <x:v>14</x:v>
      </x:c>
      <x:c r="F7" s="58" t="n">
        <x:v>0</x:v>
      </x:c>
      <x:c r="G7" s="56" t="n">
        <x:v>0</x:v>
      </x:c>
    </x:row>
    <x:row r="8">
      <x:c r="A8" s="54" t="str">
        <x:v>Menor</x:v>
      </x:c>
      <x:c r="B8" s="58" t="n">
        <x:v>3</x:v>
      </x:c>
      <x:c r="C8" s="58" t="n">
        <x:v>96</x:v>
      </x:c>
      <x:c r="D8" s="54" t="str">
        <x:v>Difícil</x:v>
      </x:c>
      <x:c r="E8" s="58" t="n">
        <x:v>10</x:v>
      </x:c>
      <x:c r="F8" s="58" t="n">
        <x:v>0</x:v>
      </x:c>
      <x:c r="G8" s="56" t="n">
        <x:v>0</x:v>
      </x:c>
    </x:row>
    <x:row r="9">
      <x:c r="A9" s="54" t="str">
        <x:v>Menor</x:v>
      </x:c>
      <x:c r="B9" s="58" t="n">
        <x:v>4</x:v>
      </x:c>
      <x:c r="C9" s="58" t="n">
        <x:v>103</x:v>
      </x:c>
      <x:c r="D9" s="54" t="str">
        <x:v>Difícil</x:v>
      </x:c>
      <x:c r="E9" s="58" t="n">
        <x:v>10</x:v>
      </x:c>
      <x:c r="F9" s="58" t="n">
        <x:v>0</x:v>
      </x:c>
      <x:c r="G9" s="56" t="n">
        <x:v>0</x:v>
      </x:c>
    </x:row>
    <x:row r="10">
      <x:c r="A10" s="54" t="str">
        <x:v>Menor</x:v>
      </x:c>
      <x:c r="B10" s="58" t="n">
        <x:v>5</x:v>
      </x:c>
      <x:c r="C10" s="58" t="n">
        <x:v>16</x:v>
      </x:c>
      <x:c r="D10" s="54" t="str">
        <x:v>Muito Difícil</x:v>
      </x:c>
      <x:c r="E10" s="58" t="n">
        <x:v>19</x:v>
      </x:c>
      <x:c r="F10" s="58" t="n">
        <x:v>1</x:v>
      </x:c>
      <x:c r="G10" s="56" t="n">
        <x:v>0.052632</x:v>
      </x:c>
    </x:row>
    <x:row r="11">
      <x:c r="A11" s="54" t="str">
        <x:v>Menor</x:v>
      </x:c>
      <x:c r="B11" s="58" t="n">
        <x:v>6</x:v>
      </x:c>
      <x:c r="C11" s="58" t="n">
        <x:v>15</x:v>
      </x:c>
      <x:c r="D11" s="54" t="str">
        <x:v>Muito Difícil</x:v>
      </x:c>
      <x:c r="E11" s="58" t="n">
        <x:v>17</x:v>
      </x:c>
      <x:c r="F11" s="58" t="n">
        <x:v>1</x:v>
      </x:c>
      <x:c r="G11" s="56" t="n">
        <x:v>0.058824</x:v>
      </x:c>
    </x:row>
    <x:row r="12">
      <x:c r="A12" s="54" t="str">
        <x:v>Menor</x:v>
      </x:c>
      <x:c r="B12" s="58" t="n">
        <x:v>7</x:v>
      </x:c>
      <x:c r="C12" s="58" t="n">
        <x:v>8</x:v>
      </x:c>
      <x:c r="D12" s="54" t="str">
        <x:v>Fácil</x:v>
      </x:c>
      <x:c r="E12" s="58" t="n">
        <x:v>14</x:v>
      </x:c>
      <x:c r="F12" s="58" t="n">
        <x:v>1</x:v>
      </x:c>
      <x:c r="G12" s="56" t="n">
        <x:v>0.071429</x:v>
      </x:c>
    </x:row>
    <x:row r="13">
      <x:c r="A13" s="54" t="str">
        <x:v>Menor</x:v>
      </x:c>
      <x:c r="B13" s="58" t="n">
        <x:v>8</x:v>
      </x:c>
      <x:c r="C13" s="58" t="n">
        <x:v>51</x:v>
      </x:c>
      <x:c r="D13" s="54" t="str">
        <x:v>Muito Difícil</x:v>
      </x:c>
      <x:c r="E13" s="58" t="n">
        <x:v>21</x:v>
      </x:c>
      <x:c r="F13" s="58" t="n">
        <x:v>2</x:v>
      </x:c>
      <x:c r="G13" s="56" t="n">
        <x:v>0.095238</x:v>
      </x:c>
    </x:row>
    <x:row r="14">
      <x:c r="A14" s="54" t="str">
        <x:v>Menor</x:v>
      </x:c>
      <x:c r="B14" s="58" t="n">
        <x:v>9</x:v>
      </x:c>
      <x:c r="C14" s="58" t="n">
        <x:v>91</x:v>
      </x:c>
      <x:c r="D14" s="54" t="str">
        <x:v>Muito Difícil</x:v>
      </x:c>
      <x:c r="E14" s="58" t="n">
        <x:v>21</x:v>
      </x:c>
      <x:c r="F14" s="58" t="n">
        <x:v>2</x:v>
      </x:c>
      <x:c r="G14" s="56" t="n">
        <x:v>0.095238</x:v>
      </x:c>
    </x:row>
    <x:row r="15">
      <x:c r="A15" s="54" t="str">
        <x:v>Menor</x:v>
      </x:c>
      <x:c r="B15" s="58" t="n">
        <x:v>10</x:v>
      </x:c>
      <x:c r="C15" s="58" t="n">
        <x:v>92</x:v>
      </x:c>
      <x:c r="D15" s="54" t="str">
        <x:v>Muito Difícil</x:v>
      </x:c>
      <x:c r="E15" s="58" t="n">
        <x:v>21</x:v>
      </x:c>
      <x:c r="F15" s="58" t="n">
        <x:v>2</x:v>
      </x:c>
      <x:c r="G15" s="56" t="n">
        <x:v>0.095238</x:v>
      </x:c>
    </x:row>
    <x:row r="16">
      <x:c r="A16" s="54" t="str">
        <x:v>Maior</x:v>
      </x:c>
      <x:c r="B16" s="58" t="n">
        <x:v>1</x:v>
      </x:c>
      <x:c r="C16" s="58" t="n">
        <x:v>62</x:v>
      </x:c>
      <x:c r="D16" s="54" t="str">
        <x:v>Fácil</x:v>
      </x:c>
      <x:c r="E16" s="58" t="n">
        <x:v>25</x:v>
      </x:c>
      <x:c r="F16" s="58" t="n">
        <x:v>21</x:v>
      </x:c>
      <x:c r="G16" s="56" t="n">
        <x:v>0.84</x:v>
      </x:c>
    </x:row>
    <x:row r="17">
      <x:c r="A17" s="54" t="str">
        <x:v>Maior</x:v>
      </x:c>
      <x:c r="B17" s="58" t="n">
        <x:v>2</x:v>
      </x:c>
      <x:c r="C17" s="58" t="n">
        <x:v>23</x:v>
      </x:c>
      <x:c r="D17" s="54" t="str">
        <x:v>Fácil</x:v>
      </x:c>
      <x:c r="E17" s="58" t="n">
        <x:v>17</x:v>
      </x:c>
      <x:c r="F17" s="58" t="n">
        <x:v>12</x:v>
      </x:c>
      <x:c r="G17" s="56" t="n">
        <x:v>0.705882</x:v>
      </x:c>
    </x:row>
    <x:row r="18">
      <x:c r="A18" s="54" t="str">
        <x:v>Maior</x:v>
      </x:c>
      <x:c r="B18" s="58" t="n">
        <x:v>3</x:v>
      </x:c>
      <x:c r="C18" s="58" t="n">
        <x:v>3</x:v>
      </x:c>
      <x:c r="D18" s="54" t="str">
        <x:v>Fácil</x:v>
      </x:c>
      <x:c r="E18" s="58" t="n">
        <x:v>12</x:v>
      </x:c>
      <x:c r="F18" s="58" t="n">
        <x:v>8</x:v>
      </x:c>
      <x:c r="G18" s="56" t="n">
        <x:v>0.666667</x:v>
      </x:c>
    </x:row>
    <x:row r="19">
      <x:c r="A19" s="54" t="str">
        <x:v>Maior</x:v>
      </x:c>
      <x:c r="B19" s="58" t="n">
        <x:v>4</x:v>
      </x:c>
      <x:c r="C19" s="58" t="n">
        <x:v>63</x:v>
      </x:c>
      <x:c r="D19" s="54" t="str">
        <x:v>Média</x:v>
      </x:c>
      <x:c r="E19" s="58" t="n">
        <x:v>35</x:v>
      </x:c>
      <x:c r="F19" s="58" t="n">
        <x:v>23</x:v>
      </x:c>
      <x:c r="G19" s="56" t="n">
        <x:v>0.657143</x:v>
      </x:c>
    </x:row>
    <x:row r="20">
      <x:c r="A20" s="54" t="str">
        <x:v>Maior</x:v>
      </x:c>
      <x:c r="B20" s="58" t="n">
        <x:v>5</x:v>
      </x:c>
      <x:c r="C20" s="58" t="n">
        <x:v>35</x:v>
      </x:c>
      <x:c r="D20" s="54" t="str">
        <x:v>Fácil</x:v>
      </x:c>
      <x:c r="E20" s="58" t="n">
        <x:v>22</x:v>
      </x:c>
      <x:c r="F20" s="58" t="n">
        <x:v>14</x:v>
      </x:c>
      <x:c r="G20" s="56" t="n">
        <x:v>0.636364</x:v>
      </x:c>
    </x:row>
    <x:row r="21">
      <x:c r="A21" s="54" t="str">
        <x:v>Maior</x:v>
      </x:c>
      <x:c r="B21" s="58" t="n">
        <x:v>6</x:v>
      </x:c>
      <x:c r="C21" s="58" t="n">
        <x:v>22</x:v>
      </x:c>
      <x:c r="D21" s="54" t="str">
        <x:v>Fácil</x:v>
      </x:c>
      <x:c r="E21" s="58" t="n">
        <x:v>19</x:v>
      </x:c>
      <x:c r="F21" s="58" t="n">
        <x:v>12</x:v>
      </x:c>
      <x:c r="G21" s="56" t="n">
        <x:v>0.631579</x:v>
      </x:c>
    </x:row>
    <x:row r="22">
      <x:c r="A22" s="54" t="str">
        <x:v>Maior</x:v>
      </x:c>
      <x:c r="B22" s="58" t="n">
        <x:v>7</x:v>
      </x:c>
      <x:c r="C22" s="58" t="n">
        <x:v>89</x:v>
      </x:c>
      <x:c r="D22" s="54" t="str">
        <x:v>Muito Difícil</x:v>
      </x:c>
      <x:c r="E22" s="58" t="n">
        <x:v>14</x:v>
      </x:c>
      <x:c r="F22" s="58" t="n">
        <x:v>8</x:v>
      </x:c>
      <x:c r="G22" s="56" t="n">
        <x:v>0.571429</x:v>
      </x:c>
    </x:row>
    <x:row r="23">
      <x:c r="A23" s="54" t="str">
        <x:v>Maior</x:v>
      </x:c>
      <x:c r="B23" s="58" t="n">
        <x:v>8</x:v>
      </x:c>
      <x:c r="C23" s="58" t="n">
        <x:v>29</x:v>
      </x:c>
      <x:c r="D23" s="54" t="str">
        <x:v>Fácil</x:v>
      </x:c>
      <x:c r="E23" s="58" t="n">
        <x:v>23</x:v>
      </x:c>
      <x:c r="F23" s="58" t="n">
        <x:v>13</x:v>
      </x:c>
      <x:c r="G23" s="56" t="n">
        <x:v>0.565217</x:v>
      </x:c>
    </x:row>
    <x:row r="24">
      <x:c r="A24" s="54" t="str">
        <x:v>Maior</x:v>
      </x:c>
      <x:c r="B24" s="58" t="n">
        <x:v>9</x:v>
      </x:c>
      <x:c r="C24" s="58" t="n">
        <x:v>85</x:v>
      </x:c>
      <x:c r="D24" s="54" t="str">
        <x:v>Fácil</x:v>
      </x:c>
      <x:c r="E24" s="58" t="n">
        <x:v>21</x:v>
      </x:c>
      <x:c r="F24" s="58" t="n">
        <x:v>11</x:v>
      </x:c>
      <x:c r="G24" s="56" t="n">
        <x:v>0.52381</x:v>
      </x:c>
    </x:row>
    <x:row r="25">
      <x:c r="A25" s="54" t="str">
        <x:v>Maior</x:v>
      </x:c>
      <x:c r="B25" s="58" t="n">
        <x:v>10</x:v>
      </x:c>
      <x:c r="C25" s="58" t="n">
        <x:v>65</x:v>
      </x:c>
      <x:c r="D25" s="54" t="str">
        <x:v>Fácil</x:v>
      </x:c>
      <x:c r="E25" s="58" t="n">
        <x:v>21</x:v>
      </x:c>
      <x:c r="F25" s="58" t="n">
        <x:v>11</x:v>
      </x:c>
      <x:c r="G25" s="56" t="n">
        <x:v>0.52381</x:v>
      </x:c>
    </x:row>
  </x:sheetData>
  <x:mergeCells>
    <x:mergeCell ref="A1:J2"/>
    <x:mergeCell ref="A3:J3"/>
  </x:mergeCells>
  <x:conditionalFormatting sqref="G6:G25">
    <x:cfRule type="colorScale" priority="1">
      <x:colorScale>
        <x:cfvo type="min"/>
        <x:cfvo type="percentile" val="50"/>
        <x:cfvo type="max"/>
        <x:color rgb="FFDBEAFE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56712774ff04f2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6" customHeight="1">
      <x:c r="A1" s="5" t="str">
        <x:v>Metadados, definição e limitações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13" t="str">
        <x:v>Conteúdo textual preservado do relatório Markdown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>
      <x:c r="A5" s="47" t="str">
        <x:v>Campo</x:v>
      </x:c>
      <x:c r="B5" s="47" t="str">
        <x:v>Valor</x:v>
      </x:c>
    </x:row>
    <x:row r="6">
      <x:c r="A6" s="54" t="str">
        <x:v>Generated at</x:v>
      </x:c>
      <x:c r="B6" s="54" t="n">
        <x:v>46232.68987268519</x:v>
      </x:c>
    </x:row>
    <x:row r="7">
      <x:c r="A7" s="54" t="str">
        <x:v>Input</x:v>
      </x:c>
      <x:c r="B7" s="54" t="str">
        <x:v>/home/ioolliver/Workspace/ast-driven-data-augmentation-algorithm/data/censo_escolar_dataset/censo_escolar_dataset_augmented_only.json</x:v>
      </x:c>
    </x:row>
    <x:row r="8">
      <x:c r="A8" s="54" t="str">
        <x:v>Rows analyzed</x:v>
      </x:c>
      <x:c r="B8" s="54" t="n">
        <x:v>107</x:v>
      </x:c>
    </x:row>
    <x:row r="9">
      <x:c r="A9" s="54" t="str">
        <x:v>SQL dialect</x:v>
      </x:c>
      <x:c r="B9" s="54" t="str">
        <x:v>bigquery</x:v>
      </x:c>
    </x:row>
    <x:row r="10">
      <x:c r="A10" s="54" t="str">
        <x:v>Score formula</x:v>
      </x:c>
      <x:c r="B10" s="54" t="str">
        <x:v>changed_component_count / component_total</x:v>
      </x:c>
    </x:row>
    <x:row r="13">
      <x:c r="A13" s="63" t="str">
        <x:v>component_matching_score is the share of normalized SQL AST component slots that changed between the original and augmented SQL.</x:v>
      </x:c>
      <x:c r="B13" s="63"/>
      <x:c r="C13" s="63"/>
      <x:c r="D13" s="63"/>
      <x:c r="E13" s="63"/>
      <x:c r="F13" s="63"/>
      <x:c r="G13" s="63"/>
      <x:c r="H13" s="63"/>
    </x:row>
    <x:row r="14">
      <x:c r="A14" s="63"/>
      <x:c r="B14" s="63"/>
      <x:c r="C14" s="63"/>
      <x:c r="D14" s="63"/>
      <x:c r="E14" s="63"/>
      <x:c r="F14" s="63"/>
      <x:c r="G14" s="63"/>
      <x:c r="H14" s="63"/>
    </x:row>
    <x:row r="15">
      <x:c r="A15" s="63"/>
      <x:c r="B15" s="63"/>
      <x:c r="C15" s="63"/>
      <x:c r="D15" s="63"/>
      <x:c r="E15" s="63"/>
      <x:c r="F15" s="63"/>
      <x:c r="G15" s="63"/>
      <x:c r="H15" s="63"/>
    </x:row>
    <x:row r="16">
      <x:c r="A16" s="63"/>
      <x:c r="B16" s="63"/>
      <x:c r="C16" s="63"/>
      <x:c r="D16" s="63"/>
      <x:c r="E16" s="63"/>
      <x:c r="F16" s="63"/>
      <x:c r="G16" s="63"/>
      <x:c r="H16" s="63"/>
    </x:row>
    <x:row r="18">
      <x:c r="A18" s="71" t="str">
        <x:v>This score is a structural-change heuristic over normalized SQL AST components. It is interpretable, but it does not prove SQL correctness, behavioral equivalence, or natural-language alignment.</x:v>
      </x:c>
      <x:c r="B18" s="71"/>
      <x:c r="C18" s="71"/>
      <x:c r="D18" s="71"/>
      <x:c r="E18" s="71"/>
      <x:c r="F18" s="71"/>
      <x:c r="G18" s="71"/>
      <x:c r="H18" s="71"/>
    </x:row>
    <x:row r="19">
      <x:c r="A19" s="71"/>
      <x:c r="B19" s="71"/>
      <x:c r="C19" s="71"/>
      <x:c r="D19" s="71"/>
      <x:c r="E19" s="71"/>
      <x:c r="F19" s="71"/>
      <x:c r="G19" s="71"/>
      <x:c r="H19" s="71"/>
    </x:row>
    <x:row r="20">
      <x:c r="A20" s="71"/>
      <x:c r="B20" s="71"/>
      <x:c r="C20" s="71"/>
      <x:c r="D20" s="71"/>
      <x:c r="E20" s="71"/>
      <x:c r="F20" s="71"/>
      <x:c r="G20" s="71"/>
      <x:c r="H20" s="71"/>
    </x:row>
    <x:row r="21">
      <x:c r="A21" s="71"/>
      <x:c r="B21" s="71"/>
      <x:c r="C21" s="71"/>
      <x:c r="D21" s="71"/>
      <x:c r="E21" s="71"/>
      <x:c r="F21" s="71"/>
      <x:c r="G21" s="71"/>
      <x:c r="H21" s="71"/>
    </x:row>
    <x:row r="22">
      <x:c r="A22" s="71"/>
      <x:c r="B22" s="71"/>
      <x:c r="C22" s="71"/>
      <x:c r="D22" s="71"/>
      <x:c r="E22" s="71"/>
      <x:c r="F22" s="71"/>
      <x:c r="G22" s="71"/>
      <x:c r="H22" s="71"/>
    </x:row>
  </x:sheetData>
  <x:mergeCells>
    <x:mergeCell ref="A1:J2"/>
    <x:mergeCell ref="A3:J3"/>
    <x:mergeCell ref="A13:H16"/>
    <x:mergeCell ref="A18:H22"/>
  </x:mergeCells>
  <x:pageMargins left="0.7" right="0.7" top="0.75" bottom="0.75" header="0.3" footer="0.3"/>
  <x:tableParts count="1">
    <x:tablePart xmlns:r="http://schemas.openxmlformats.org/officeDocument/2006/relationships" r:id="R1359fd93db214558"/>
  </x:tableParts>
</x:worksheet>
</file>