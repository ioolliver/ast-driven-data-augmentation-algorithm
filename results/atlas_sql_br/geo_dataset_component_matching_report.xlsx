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facc999a2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f64bb6922d54d70"/>
    <x:sheet xmlns:r="http://schemas.openxmlformats.org/officeDocument/2006/relationships" name="Por nível" sheetId="2" r:id="R959b6df1869b4c3f"/>
    <x:sheet xmlns:r="http://schemas.openxmlformats.org/officeDocument/2006/relationships" name="Distribuições" sheetId="3" r:id="R836a597d8aee4f46"/>
    <x:sheet xmlns:r="http://schemas.openxmlformats.org/officeDocument/2006/relationships" name="Extremos" sheetId="4" r:id="R3b2f9df89841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%"/>
    <x:numFmt numFmtId="202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2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F3F4F6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5349048ca4de7" /><Relationship Type="http://schemas.openxmlformats.org/officeDocument/2006/relationships/theme" Target="/xl/theme/theme1.xml" Id="Ra22aac90674048af" /><Relationship Type="http://schemas.openxmlformats.org/officeDocument/2006/relationships/sharedStrings" Target="/xl/sharedStrings.xml" Id="R31b12507fee44525" /><Relationship Type="http://schemas.openxmlformats.org/officeDocument/2006/relationships/worksheet" Target="/xl/worksheets/sheet1.xml" Id="R5f64bb6922d54d70" /><Relationship Type="http://schemas.openxmlformats.org/officeDocument/2006/relationships/worksheet" Target="/xl/worksheets/sheet2.xml" Id="R959b6df1869b4c3f" /><Relationship Type="http://schemas.openxmlformats.org/officeDocument/2006/relationships/worksheet" Target="/xl/worksheets/sheet3.xml" Id="R836a597d8aee4f46" /><Relationship Type="http://schemas.openxmlformats.org/officeDocument/2006/relationships/worksheet" Target="/xl/worksheets/sheet4.xml" Id="R3b2f9df8984148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680ffdf3fb4e51" /><Relationship Type="http://schemas.openxmlformats.org/officeDocument/2006/relationships/chart" Target="/xl/drawings/charts/chart2.xml" Id="R1f85ec17e9e9469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6a000bddee34903" /><Relationship Type="http://schemas.openxmlformats.org/officeDocument/2006/relationships/chart" Target="/xl/drawings/charts/chart4.xml" Id="R2cc1079efea24f6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cat>
            <c:strRef>
              <c:f>'Por nível'!$A$4:$A$7</c:f>
              <c:strCache>
                <c:ptCount val="0"/>
              </c:strCache>
            </c:strRef>
          </c:cat>
          <c:val>
            <c:numRef>
              <c:f>'Por nível'!$E$4:$E$7</c:f>
              <c:numCache>
                <c:formatCode>0.000000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P90</c:v>
          </c:tx>
          <c:cat>
            <c:strRef>
              <c:f>'Por nível'!$A$4:$A$7</c:f>
              <c:strCache>
                <c:ptCount val="0"/>
              </c:strCache>
            </c:strRef>
          </c:cat>
          <c:val>
            <c:numRef>
              <c:f>'Por nível'!$J$4:$J$7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P95</c:v>
          </c:tx>
          <c:cat>
            <c:strRef>
              <c:f>'Por nível'!$A$4:$A$7</c:f>
              <c:strCache>
                <c:ptCount val="0"/>
              </c:strCache>
            </c:strRef>
          </c:cat>
          <c:val>
            <c:numRef>
              <c:f>'Por nível'!$K$4:$K$7</c:f>
              <c:numCache>
                <c:formatCode>0.000000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Rows</c:v>
          </c:tx>
          <c:cat>
            <c:strRef>
              <c:f>'Distribuições'!$A$5:$A$14</c:f>
              <c:strCache>
                <c:ptCount val="0"/>
              </c:strCache>
            </c:strRef>
          </c:cat>
          <c:val>
            <c:numRef>
              <c:f>'Distribuições'!$B$5:$B$14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Changed Count</c:v>
          </c:tx>
          <c:cat>
            <c:strRef>
              <c:f>'Distribuições'!$E$5:$E$10</c:f>
              <c:strCache>
                <c:ptCount val="0"/>
              </c:strCache>
            </c:strRef>
          </c:cat>
          <c:val>
            <c:numRef>
              <c:f>'Distribuições'!$F$5:$F$10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680ffdf3fb4e5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85ec17e9e9469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a000bddee3490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c1079efea24f6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allStatsTable" displayName="OverallStatsTable" ref="A12:J13" headerRowCount="1">
  <x:tableColumns count="10">
    <x:tableColumn id="1" name="Count"/>
    <x:tableColumn id="2" name="Min"/>
    <x:tableColumn id="3" name="Max"/>
    <x:tableColumn id="4" name="Average"/>
    <x:tableColumn id="5" name="Median"/>
    <x:tableColumn id="6" name="Std Dev"/>
    <x:tableColumn id="7" name="P25"/>
    <x:tableColumn id="8" name="P75"/>
    <x:tableColumn id="9" name="P90"/>
    <x:tableColumn id="10" name="P95"/>
  </x:tableColumns>
  <x:tableStyleInfo name="TableStyleMedium2" showRowStripes="1"/>
</x:table>
</file>

<file path=xl/tables/table2.xml><?xml version="1.0" encoding="utf-8"?>
<x:table xmlns:x="http://schemas.openxmlformats.org/spreadsheetml/2006/main" id="2" name="StatsByLevelTable" displayName="StatsByLevelTable" ref="A3:K7" headerRowCount="1">
  <x:tableColumns count="11">
    <x:tableColumn id="1" name="Level"/>
    <x:tableColumn id="2" name="Count"/>
    <x:tableColumn id="3" name="Min"/>
    <x:tableColumn id="4" name="Max"/>
    <x:tableColumn id="5" name="Average"/>
    <x:tableColumn id="6" name="Median"/>
    <x:tableColumn id="7" name="Std Dev"/>
    <x:tableColumn id="8" name="P25"/>
    <x:tableColumn id="9" name="P75"/>
    <x:tableColumn id="10" name="P90"/>
    <x:tableColumn id="11" name="P95"/>
  </x:tableColumns>
  <x:tableStyleInfo name="TableStyleMedium2" showRowStripes="1"/>
</x:table>
</file>

<file path=xl/tables/table3.xml><?xml version="1.0" encoding="utf-8"?>
<x:table xmlns:x="http://schemas.openxmlformats.org/spreadsheetml/2006/main" id="3" name="ScoreBandTable" displayName="ScoreBandTable" ref="A4:C14" headerRowCount="1">
  <x:tableColumns count="3">
    <x:tableColumn id="1" name="Score Band"/>
    <x:tableColumn id="2" name="Rows"/>
    <x:tableColumn id="3" name="Share"/>
  </x:tableColumns>
  <x:tableStyleInfo name="TableStyleMedium2" showRowStripes="1"/>
</x:table>
</file>

<file path=xl/tables/table4.xml><?xml version="1.0" encoding="utf-8"?>
<x:table xmlns:x="http://schemas.openxmlformats.org/spreadsheetml/2006/main" id="4" name="ComponentFamilyTable" displayName="ComponentFamilyTable" ref="E4:G10" headerRowCount="1">
  <x:tableColumns count="3">
    <x:tableColumn id="1" name="Component Family"/>
    <x:tableColumn id="2" name="Changed Count"/>
    <x:tableColumn id="3" name="Share"/>
  </x:tableColumns>
  <x:tableStyleInfo name="TableStyleMedium2" showRowStripes="1"/>
</x:table>
</file>

<file path=xl/tables/table5.xml><?xml version="1.0" encoding="utf-8"?>
<x:table xmlns:x="http://schemas.openxmlformats.org/spreadsheetml/2006/main" id="5" name="LowestScoresTable" displayName="LowestScoresTable" ref="A4:E14" headerRowCount="1">
  <x:tableColumns count="5">
    <x:tableColumn id="1" name="Row Index"/>
    <x:tableColumn id="2" name="Level"/>
    <x:tableColumn id="3" name="Components"/>
    <x:tableColumn id="4" name="Changed"/>
    <x:tableColumn id="5" name="Score"/>
  </x:tableColumns>
  <x:tableStyleInfo name="TableStyleMedium2" showRowStripes="1"/>
</x:table>
</file>

<file path=xl/tables/table6.xml><?xml version="1.0" encoding="utf-8"?>
<x:table xmlns:x="http://schemas.openxmlformats.org/spreadsheetml/2006/main" id="6" name="HighestScoresTable" displayName="HighestScoresTable" ref="G4:K14" headerRowCount="1">
  <x:tableColumns count="5">
    <x:tableColumn id="1" name="Row Index"/>
    <x:tableColumn id="2" name="Level"/>
    <x:tableColumn id="3" name="Components"/>
    <x:tableColumn id="4" name="Changed"/>
    <x:tableColumn id="5" name="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9b085d63e446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e36096dab8a4cfa" /><Relationship Type="http://schemas.openxmlformats.org/officeDocument/2006/relationships/table" Target="/xl/tables/table2.xml" Id="Rd8081ed58a8342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33aa35a4d694a7d" /><Relationship Type="http://schemas.openxmlformats.org/officeDocument/2006/relationships/table" Target="/xl/tables/table3.xml" Id="R14b07022634d4b0c" /><Relationship Type="http://schemas.openxmlformats.org/officeDocument/2006/relationships/table" Target="/xl/tables/table4.xml" Id="Rfd8948957ca24b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79135db90e4347ec" /><Relationship Type="http://schemas.openxmlformats.org/officeDocument/2006/relationships/table" Target="/xl/tables/table6.xml" Id="R04ffb185b9c1495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3" hidden="0" customWidth="1"/>
    <x:col min="4" max="4" width="20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62" t="str">
        <x:v>Geo Dataset Component Matching Report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63" t="str">
        <x:v>Método</x:v>
      </x:c>
      <x:c r="B3" s="50"/>
      <x:c r="C3" s="50"/>
      <x:c r="D3" s="63" t="str">
        <x:v>Leitura rápida</x:v>
      </x:c>
      <x:c r="E3" s="50"/>
      <x:c r="F3" s="50"/>
      <x:c r="G3" s="50"/>
      <x:c r="H3" s="50"/>
      <x:c r="I3" s="50"/>
      <x:c r="J3" s="50"/>
    </x:row>
    <x:row r="4">
      <x:c r="A4" s="64" t="str">
        <x:v>Generated at</x:v>
      </x:c>
      <x:c r="B4" s="50" t="n">
        <x:v>46196.930185185185</x:v>
      </x:c>
      <x:c r="C4" s="50"/>
      <x:c r="D4" s="64" t="str">
        <x:v>Average score</x:v>
      </x:c>
      <x:c r="E4" s="65" t="n">
        <x:v>0.113215</x:v>
      </x:c>
      <x:c r="F4" s="50"/>
      <x:c r="G4" s="50"/>
      <x:c r="H4" s="50"/>
      <x:c r="I4" s="50"/>
      <x:c r="J4" s="50"/>
    </x:row>
    <x:row r="5">
      <x:c r="A5" s="64" t="str">
        <x:v>Input</x:v>
      </x:c>
      <x:c r="B5" s="50" t="str">
        <x:v>/home/ioolliver/Workspace/ast-driven-data-augmentation-algorithm/data/geo_dataset/geo_dataset_augmented_only.json</x:v>
      </x:c>
      <x:c r="C5" s="50"/>
      <x:c r="D5" s="64" t="str">
        <x:v>Median score</x:v>
      </x:c>
      <x:c r="E5" s="65" t="n">
        <x:v>0.096464</x:v>
      </x:c>
      <x:c r="F5" s="50"/>
      <x:c r="G5" s="50"/>
      <x:c r="H5" s="50"/>
      <x:c r="I5" s="50"/>
      <x:c r="J5" s="50"/>
    </x:row>
    <x:row r="6">
      <x:c r="A6" s="64" t="str">
        <x:v>Rows analyzed</x:v>
      </x:c>
      <x:c r="B6" s="50" t="n">
        <x:v>980</x:v>
      </x:c>
      <x:c r="C6" s="50"/>
      <x:c r="D6" s="64" t="str">
        <x:v>P90 score</x:v>
      </x:c>
      <x:c r="E6" s="65" t="n">
        <x:v>0.226299</x:v>
      </x:c>
      <x:c r="F6" s="50"/>
      <x:c r="G6" s="50"/>
      <x:c r="H6" s="50"/>
      <x:c r="I6" s="50"/>
      <x:c r="J6" s="50"/>
    </x:row>
    <x:row r="7">
      <x:c r="A7" s="64" t="str">
        <x:v>SQL dialect</x:v>
      </x:c>
      <x:c r="B7" s="50" t="str">
        <x:v>postgres</x:v>
      </x:c>
      <x:c r="C7" s="50"/>
      <x:c r="D7" s="64" t="str">
        <x:v>Rows unchanged</x:v>
      </x:c>
      <x:c r="E7" s="50" t="n">
        <x:v>99</x:v>
      </x:c>
      <x:c r="F7" s="50"/>
      <x:c r="G7" s="50"/>
      <x:c r="H7" s="50"/>
      <x:c r="I7" s="50"/>
      <x:c r="J7" s="50"/>
    </x:row>
    <x:row r="8">
      <x:c r="A8" s="64" t="str">
        <x:v>Score formula</x:v>
      </x:c>
      <x:c r="B8" s="50" t="str">
        <x:v>changed_component_count / component_total</x:v>
      </x:c>
      <x:c r="C8" s="50"/>
      <x:c r="D8" s="64" t="str">
        <x:v>Unchanged share</x:v>
      </x:c>
      <x:c r="E8" s="66" t="n">
        <x:f>E7/$B$6</x:f>
        <x:v>0.10102040816326531</x:v>
      </x:c>
      <x:c r="F8" s="50"/>
      <x:c r="G8" s="50"/>
      <x:c r="H8" s="50"/>
      <x:c r="I8" s="50"/>
      <x:c r="J8" s="50"/>
    </x:row>
    <x:row r="9">
      <x:c r="A9" s="64" t="str">
        <x:v>Rows with no component changes</x:v>
      </x:c>
      <x:c r="B9" s="50" t="n">
        <x:v>99</x:v>
      </x:c>
      <x:c r="C9" s="50"/>
      <x:c r="D9" s="64" t="str">
        <x:v>Highest score</x:v>
      </x:c>
      <x:c r="E9" s="65" t="n">
        <x:v>0.533333</x:v>
      </x:c>
      <x:c r="F9" s="50"/>
      <x:c r="G9" s="50"/>
      <x:c r="H9" s="50"/>
      <x:c r="I9" s="50"/>
      <x:c r="J9" s="50"/>
    </x:row>
    <x:row r="10">
      <x:c r="A10" s="50"/>
      <x:c r="B10" s="50"/>
      <x:c r="C10" s="50"/>
      <x:c r="D10" s="50"/>
      <x:c r="E10" s="50"/>
      <x:c r="F10" s="50"/>
      <x:c r="G10" s="50"/>
      <x:c r="H10" s="50"/>
      <x:c r="I10" s="50"/>
      <x:c r="J10" s="50"/>
    </x:row>
    <x:row r="11">
      <x:c r="A11" s="63" t="str">
        <x:v>Overall Statistics</x:v>
      </x:c>
      <x:c r="B11" s="50"/>
      <x:c r="C11" s="50"/>
      <x:c r="D11" s="50"/>
      <x:c r="E11" s="50"/>
      <x:c r="F11" s="50"/>
      <x:c r="G11" s="50"/>
      <x:c r="H11" s="50"/>
      <x:c r="I11" s="50"/>
      <x:c r="J11" s="50"/>
    </x:row>
    <x:row r="12">
      <x:c r="A12" s="32" t="str">
        <x:v>Count</x:v>
      </x:c>
      <x:c r="B12" s="32" t="str">
        <x:v>Min</x:v>
      </x:c>
      <x:c r="C12" s="32" t="str">
        <x:v>Max</x:v>
      </x:c>
      <x:c r="D12" s="32" t="str">
        <x:v>Average</x:v>
      </x:c>
      <x:c r="E12" s="32" t="str">
        <x:v>Median</x:v>
      </x:c>
      <x:c r="F12" s="32" t="str">
        <x:v>Std Dev</x:v>
      </x:c>
      <x:c r="G12" s="32" t="str">
        <x:v>P25</x:v>
      </x:c>
      <x:c r="H12" s="32" t="str">
        <x:v>P75</x:v>
      </x:c>
      <x:c r="I12" s="32" t="str">
        <x:v>P90</x:v>
      </x:c>
      <x:c r="J12" s="32" t="str">
        <x:v>P95</x:v>
      </x:c>
    </x:row>
    <x:row r="13">
      <x:c r="A13" s="67" t="n">
        <x:v>980</x:v>
      </x:c>
      <x:c r="B13" s="65" t="n">
        <x:v>0</x:v>
      </x:c>
      <x:c r="C13" s="65" t="n">
        <x:v>0.533333</x:v>
      </x:c>
      <x:c r="D13" s="65" t="n">
        <x:v>0.113215</x:v>
      </x:c>
      <x:c r="E13" s="65" t="n">
        <x:v>0.096464</x:v>
      </x:c>
      <x:c r="F13" s="65" t="n">
        <x:v>0.086501</x:v>
      </x:c>
      <x:c r="G13" s="65" t="n">
        <x:v>0.058824</x:v>
      </x:c>
      <x:c r="H13" s="65" t="n">
        <x:v>0.146136</x:v>
      </x:c>
      <x:c r="I13" s="65" t="n">
        <x:v>0.226299</x:v>
      </x:c>
      <x:c r="J13" s="65" t="n">
        <x:v>0.307692</x:v>
      </x:c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</x:row>
    <x:row r="15">
      <x:c r="A15" s="63" t="str">
        <x:v>Interpretação</x:v>
      </x:c>
      <x:c r="B15" s="50"/>
      <x:c r="C15" s="50"/>
      <x:c r="D15" s="50"/>
      <x:c r="E15" s="50"/>
      <x:c r="F15" s="50"/>
      <x:c r="G15" s="50"/>
      <x:c r="H15" s="50"/>
      <x:c r="I15" s="50"/>
      <x:c r="J15" s="50"/>
    </x:row>
    <x:row r="16">
      <x:c r="A16" s="54" t="str">
        <x:v>component_matching_score mede a proporção de slots normalizados da AST SQL que mudaram entre o SQL original e o SQL aumentado. Neste relatório, a média geral é 0,113215 e a mediana é 0,096464, indicando que a maior parte das variações altera uma fração relativamente pequena dos componentes SQL.</x:v>
      </x:c>
      <x:c r="B16" s="54"/>
      <x:c r="C16" s="54"/>
      <x:c r="D16" s="54"/>
      <x:c r="E16" s="54"/>
      <x:c r="F16" s="54"/>
      <x:c r="G16" s="54"/>
      <x:c r="H16" s="54"/>
      <x:c r="I16" s="54"/>
      <x:c r="J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</x:row>
    <x:row r="20">
      <x:c r="A20" s="63" t="str">
        <x:v>Fonte</x:v>
      </x:c>
      <x:c r="B20" s="50"/>
      <x:c r="C20" s="50"/>
      <x:c r="D20" s="50"/>
      <x:c r="E20" s="50"/>
      <x:c r="F20" s="50"/>
      <x:c r="G20" s="50"/>
      <x:c r="H20" s="50"/>
      <x:c r="I20" s="50"/>
      <x:c r="J20" s="50"/>
    </x:row>
    <x:row r="21">
      <x:c r="A21" s="54" t="str">
        <x:v>Arquivo convertido: geo_dataset_component_matching_report.md</x:v>
      </x:c>
      <x:c r="B21" s="54"/>
      <x:c r="C21" s="54"/>
      <x:c r="D21" s="54"/>
      <x:c r="E21" s="54"/>
      <x:c r="F21" s="54"/>
      <x:c r="G21" s="54"/>
      <x:c r="H21" s="54"/>
      <x:c r="I21" s="54"/>
      <x:c r="J21" s="54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</x:row>
  </x:sheetData>
  <x:mergeCells>
    <x:mergeCell ref="A1:J1"/>
    <x:mergeCell ref="A3:B3"/>
    <x:mergeCell ref="D3:J3"/>
    <x:mergeCell ref="A11:J11"/>
    <x:mergeCell ref="A15:J15"/>
    <x:mergeCell ref="A16:J18"/>
    <x:mergeCell ref="A20:J20"/>
    <x:mergeCell ref="A21:J21"/>
  </x:mergeCells>
  <x:pageMargins left="0.7" right="0.7" top="0.75" bottom="0.75" header="0.3" footer="0.3"/>
  <x:tableParts count="1">
    <x:tablePart xmlns:r="http://schemas.openxmlformats.org/officeDocument/2006/relationships" r:id="R6f9b085d63e446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0" customHeight="1">
      <x:c r="A1" s="62" t="str">
        <x:v>Statistics By Level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</x:row>
    <x:row r="3">
      <x:c r="A3" s="32" t="str">
        <x:v>Level</x:v>
      </x:c>
      <x:c r="B3" s="32" t="str">
        <x:v>Count</x:v>
      </x:c>
      <x:c r="C3" s="32" t="str">
        <x:v>Min</x:v>
      </x:c>
      <x:c r="D3" s="32" t="str">
        <x:v>Max</x:v>
      </x:c>
      <x:c r="E3" s="32" t="str">
        <x:v>Average</x:v>
      </x:c>
      <x:c r="F3" s="32" t="str">
        <x:v>Median</x:v>
      </x:c>
      <x:c r="G3" s="32" t="str">
        <x:v>Std Dev</x:v>
      </x:c>
      <x:c r="H3" s="32" t="str">
        <x:v>P25</x:v>
      </x:c>
      <x:c r="I3" s="32" t="str">
        <x:v>P75</x:v>
      </x:c>
      <x:c r="J3" s="32" t="str">
        <x:v>P90</x:v>
      </x:c>
      <x:c r="K3" s="32" t="str">
        <x:v>P95</x:v>
      </x:c>
      <x:c r="L3" s="50"/>
      <x:c r="M3" s="50"/>
      <x:c r="N3" s="50"/>
      <x:c r="O3" s="50"/>
      <x:c r="P3" s="50"/>
    </x:row>
    <x:row r="4">
      <x:c r="A4" s="50" t="str">
        <x:v>Facíl</x:v>
      </x:c>
      <x:c r="B4" s="67" t="n">
        <x:v>245</x:v>
      </x:c>
      <x:c r="C4" s="65" t="n">
        <x:v>0</x:v>
      </x:c>
      <x:c r="D4" s="65" t="n">
        <x:v>0.294118</x:v>
      </x:c>
      <x:c r="E4" s="65" t="n">
        <x:v>0.082909</x:v>
      </x:c>
      <x:c r="F4" s="65" t="n">
        <x:v>0.071429</x:v>
      </x:c>
      <x:c r="G4" s="65" t="n">
        <x:v>0.066214</x:v>
      </x:c>
      <x:c r="H4" s="65" t="n">
        <x:v>0.047619</x:v>
      </x:c>
      <x:c r="I4" s="65" t="n">
        <x:v>0.117647</x:v>
      </x:c>
      <x:c r="J4" s="65" t="n">
        <x:v>0.166667</x:v>
      </x:c>
      <x:c r="K4" s="65" t="n">
        <x:v>0.230769</x:v>
      </x:c>
      <x:c r="L4" s="50"/>
      <x:c r="M4" s="50"/>
      <x:c r="N4" s="50"/>
      <x:c r="O4" s="50"/>
      <x:c r="P4" s="50"/>
    </x:row>
    <x:row r="5">
      <x:c r="A5" s="50" t="str">
        <x:v>Médio</x:v>
      </x:c>
      <x:c r="B5" s="67" t="n">
        <x:v>245</x:v>
      </x:c>
      <x:c r="C5" s="65" t="n">
        <x:v>0</x:v>
      </x:c>
      <x:c r="D5" s="65" t="n">
        <x:v>0.25641</x:v>
      </x:c>
      <x:c r="E5" s="65" t="n">
        <x:v>0.095938</x:v>
      </x:c>
      <x:c r="F5" s="65" t="n">
        <x:v>0.092593</x:v>
      </x:c>
      <x:c r="G5" s="65" t="n">
        <x:v>0.05404</x:v>
      </x:c>
      <x:c r="H5" s="65" t="n">
        <x:v>0.058824</x:v>
      </x:c>
      <x:c r="I5" s="65" t="n">
        <x:v>0.130435</x:v>
      </x:c>
      <x:c r="J5" s="65" t="n">
        <x:v>0.166667</x:v>
      </x:c>
      <x:c r="K5" s="65" t="n">
        <x:v>0.18152</x:v>
      </x:c>
      <x:c r="L5" s="50"/>
      <x:c r="M5" s="50"/>
      <x:c r="N5" s="50"/>
      <x:c r="O5" s="50"/>
      <x:c r="P5" s="50"/>
    </x:row>
    <x:row r="6">
      <x:c r="A6" s="50" t="str">
        <x:v>Difícil</x:v>
      </x:c>
      <x:c r="B6" s="67" t="n">
        <x:v>245</x:v>
      </x:c>
      <x:c r="C6" s="65" t="n">
        <x:v>0</x:v>
      </x:c>
      <x:c r="D6" s="65" t="n">
        <x:v>0.44898</x:v>
      </x:c>
      <x:c r="E6" s="65" t="n">
        <x:v>0.124436</x:v>
      </x:c>
      <x:c r="F6" s="65" t="n">
        <x:v>0.103448</x:v>
      </x:c>
      <x:c r="G6" s="65" t="n">
        <x:v>0.078073</x:v>
      </x:c>
      <x:c r="H6" s="65" t="n">
        <x:v>0.071429</x:v>
      </x:c>
      <x:c r="I6" s="65" t="n">
        <x:v>0.15625</x:v>
      </x:c>
      <x:c r="J6" s="65" t="n">
        <x:v>0.208955</x:v>
      </x:c>
      <x:c r="K6" s="65" t="n">
        <x:v>0.240861</x:v>
      </x:c>
      <x:c r="L6" s="50"/>
      <x:c r="M6" s="50"/>
      <x:c r="N6" s="50"/>
      <x:c r="O6" s="50"/>
      <x:c r="P6" s="50"/>
    </x:row>
    <x:row r="7">
      <x:c r="A7" s="50" t="str">
        <x:v>Muito Difícil</x:v>
      </x:c>
      <x:c r="B7" s="67" t="n">
        <x:v>245</x:v>
      </x:c>
      <x:c r="C7" s="65" t="n">
        <x:v>0</x:v>
      </x:c>
      <x:c r="D7" s="65" t="n">
        <x:v>0.533333</x:v>
      </x:c>
      <x:c r="E7" s="65" t="n">
        <x:v>0.149576</x:v>
      </x:c>
      <x:c r="F7" s="65" t="n">
        <x:v>0.107143</x:v>
      </x:c>
      <x:c r="G7" s="65" t="n">
        <x:v>0.117747</x:v>
      </x:c>
      <x:c r="H7" s="65" t="n">
        <x:v>0.068182</x:v>
      </x:c>
      <x:c r="I7" s="65" t="n">
        <x:v>0.235294</x:v>
      </x:c>
      <x:c r="J7" s="65" t="n">
        <x:v>0.35</x:v>
      </x:c>
      <x:c r="K7" s="65" t="n">
        <x:v>0.363636</x:v>
      </x:c>
      <x:c r="L7" s="50"/>
      <x:c r="M7" s="50"/>
      <x:c r="N7" s="50"/>
      <x:c r="O7" s="50"/>
      <x:c r="P7" s="50"/>
    </x:row>
    <x:row r="8">
      <x:c r="A8" s="50"/>
      <x:c r="B8" s="50"/>
      <x:c r="C8" s="50"/>
      <x:c r="D8" s="50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  <x:c r="P8" s="50"/>
    </x:row>
    <x:row r="9">
      <x:c r="A9" s="50"/>
      <x:c r="B9" s="50"/>
      <x:c r="C9" s="50"/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  <x:c r="P9" s="50"/>
    </x:row>
    <x:row r="10">
      <x:c r="A10" s="50"/>
      <x:c r="B10" s="50"/>
      <x:c r="C10" s="50"/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  <x:c r="P10" s="50"/>
    </x:row>
    <x:row r="11">
      <x:c r="A11" s="50"/>
      <x:c r="B11" s="50"/>
      <x:c r="C11" s="50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  <x:c r="P12" s="50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  <x:c r="P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ae36096dab8a4cfa"/>
  <x:tableParts count="1">
    <x:tablePart xmlns:r="http://schemas.openxmlformats.org/officeDocument/2006/relationships" r:id="Rd8081ed58a8342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5" max="5" width="24" hidden="0" customWidth="1"/>
    <x:col min="6" max="6" width="14" hidden="0" customWidth="1"/>
    <x:col min="7" max="7" width="14" hidden="0" customWidth="1"/>
  </x:cols>
  <x:sheetData>
    <x:row r="1" ht="30" customHeight="1">
      <x:c r="A1" s="62" t="str">
        <x:v>Distributions and Changed Components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</x:row>
    <x:row r="3">
      <x:c r="A3" s="63" t="str">
        <x:v>Score Band Distribution</x:v>
      </x:c>
      <x:c r="B3" s="50"/>
      <x:c r="C3" s="50"/>
      <x:c r="D3" s="50"/>
      <x:c r="E3" s="63" t="str">
        <x:v>Most Frequently Changed Component Families</x:v>
      </x:c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</x:row>
    <x:row r="4">
      <x:c r="A4" s="32" t="str">
        <x:v>Score Band</x:v>
      </x:c>
      <x:c r="B4" s="32" t="str">
        <x:v>Rows</x:v>
      </x:c>
      <x:c r="C4" s="32" t="str">
        <x:v>Share</x:v>
      </x:c>
      <x:c r="D4" s="50"/>
      <x:c r="E4" s="32" t="str">
        <x:v>Component Family</x:v>
      </x:c>
      <x:c r="F4" s="32" t="str">
        <x:v>Changed Count</x:v>
      </x:c>
      <x:c r="G4" s="32" t="str">
        <x:v>Share</x:v>
      </x:c>
      <x:c r="H4" s="50"/>
      <x:c r="I4" s="50"/>
      <x:c r="J4" s="50"/>
      <x:c r="K4" s="50"/>
      <x:c r="L4" s="50"/>
      <x:c r="M4" s="50"/>
      <x:c r="N4" s="50"/>
      <x:c r="O4" s="50"/>
      <x:c r="P4" s="50"/>
    </x:row>
    <x:row r="5">
      <x:c r="A5" s="50" t="str">
        <x:v>[0.0, 0.1)</x:v>
      </x:c>
      <x:c r="B5" s="67" t="n">
        <x:v>495</x:v>
      </x:c>
      <x:c r="C5" s="66" t="n">
        <x:f>B5/Resumo!$B$6</x:f>
        <x:v>0.5051020408163265</x:v>
      </x:c>
      <x:c r="D5" s="50"/>
      <x:c r="E5" s="50" t="str">
        <x:v>predicate</x:v>
      </x:c>
      <x:c r="F5" s="67" t="n">
        <x:v>1408</x:v>
      </x:c>
      <x:c r="G5" s="66" t="n">
        <x:f>F5/SUM($F$5:$F$10)</x:f>
        <x:v>0.3835467175156633</x:v>
      </x:c>
      <x:c r="H5" s="50"/>
      <x:c r="I5" s="50"/>
      <x:c r="J5" s="50"/>
      <x:c r="K5" s="50"/>
      <x:c r="L5" s="50"/>
      <x:c r="M5" s="50"/>
      <x:c r="N5" s="50"/>
      <x:c r="O5" s="50"/>
      <x:c r="P5" s="50"/>
    </x:row>
    <x:row r="6">
      <x:c r="A6" s="50" t="str">
        <x:v>[0.1, 0.2)</x:v>
      </x:c>
      <x:c r="B6" s="67" t="n">
        <x:v>351</x:v>
      </x:c>
      <x:c r="C6" s="66" t="n">
        <x:f>B6/Resumo!$B$6</x:f>
        <x:v>0.35816326530612247</x:v>
      </x:c>
      <x:c r="D6" s="50"/>
      <x:c r="E6" s="50" t="str">
        <x:v>spatial_function</x:v>
      </x:c>
      <x:c r="F6" s="67" t="n">
        <x:v>1150</x:v>
      </x:c>
      <x:c r="G6" s="66" t="n">
        <x:f>F6/SUM($F$5:$F$10)</x:f>
        <x:v>0.31326614001634434</x:v>
      </x:c>
      <x:c r="H6" s="50"/>
      <x:c r="I6" s="50"/>
      <x:c r="J6" s="50"/>
      <x:c r="K6" s="50"/>
      <x:c r="L6" s="50"/>
      <x:c r="M6" s="50"/>
      <x:c r="N6" s="50"/>
      <x:c r="O6" s="50"/>
      <x:c r="P6" s="50"/>
    </x:row>
    <x:row r="7">
      <x:c r="A7" s="50" t="str">
        <x:v>[0.2, 0.3)</x:v>
      </x:c>
      <x:c r="B7" s="67" t="n">
        <x:v>80</x:v>
      </x:c>
      <x:c r="C7" s="66" t="n">
        <x:f>B7/Resumo!$B$6</x:f>
        <x:v>0.08163265306122448</x:v>
      </x:c>
      <x:c r="D7" s="50"/>
      <x:c r="E7" s="50" t="str">
        <x:v>aggregation</x:v>
      </x:c>
      <x:c r="F7" s="67" t="n">
        <x:v>556</x:v>
      </x:c>
      <x:c r="G7" s="66" t="n">
        <x:f>F7/SUM($F$5:$F$10)</x:f>
        <x:v>0.15145736856442385</x:v>
      </x:c>
      <x:c r="H7" s="50"/>
      <x:c r="I7" s="50"/>
      <x:c r="J7" s="50"/>
      <x:c r="K7" s="50"/>
      <x:c r="L7" s="50"/>
      <x:c r="M7" s="50"/>
      <x:c r="N7" s="50"/>
      <x:c r="O7" s="50"/>
      <x:c r="P7" s="50"/>
    </x:row>
    <x:row r="8">
      <x:c r="A8" s="50" t="str">
        <x:v>[0.3, 0.4)</x:v>
      </x:c>
      <x:c r="B8" s="67" t="n">
        <x:v>48</x:v>
      </x:c>
      <x:c r="C8" s="66" t="n">
        <x:f>B8/Resumo!$B$6</x:f>
        <x:v>0.04897959183673469</x:v>
      </x:c>
      <x:c r="D8" s="50"/>
      <x:c r="E8" s="50" t="str">
        <x:v>select</x:v>
      </x:c>
      <x:c r="F8" s="67" t="n">
        <x:v>540</x:v>
      </x:c>
      <x:c r="G8" s="66" t="n">
        <x:f>F8/SUM($F$5:$F$10)</x:f>
        <x:v>0.1470988831381095</x:v>
      </x:c>
      <x:c r="H8" s="50"/>
      <x:c r="I8" s="50"/>
      <x:c r="J8" s="50"/>
      <x:c r="K8" s="50"/>
      <x:c r="L8" s="50"/>
      <x:c r="M8" s="50"/>
      <x:c r="N8" s="50"/>
      <x:c r="O8" s="50"/>
      <x:c r="P8" s="50"/>
    </x:row>
    <x:row r="9">
      <x:c r="A9" s="50" t="str">
        <x:v>[0.4, 0.5)</x:v>
      </x:c>
      <x:c r="B9" s="67" t="n">
        <x:v>4</x:v>
      </x:c>
      <x:c r="C9" s="66" t="n">
        <x:f>B9/Resumo!$B$6</x:f>
        <x:v>0.004081632653061225</x:v>
      </x:c>
      <x:c r="D9" s="50"/>
      <x:c r="E9" s="50" t="str">
        <x:v>group_by</x:v>
      </x:c>
      <x:c r="F9" s="67" t="n">
        <x:v>12</x:v>
      </x:c>
      <x:c r="G9" s="66" t="n">
        <x:f>F9/SUM($F$5:$F$10)</x:f>
        <x:v>0.003268864069735767</x:v>
      </x:c>
      <x:c r="H9" s="50"/>
      <x:c r="I9" s="50"/>
      <x:c r="J9" s="50"/>
      <x:c r="K9" s="50"/>
      <x:c r="L9" s="50"/>
      <x:c r="M9" s="50"/>
      <x:c r="N9" s="50"/>
      <x:c r="O9" s="50"/>
      <x:c r="P9" s="50"/>
    </x:row>
    <x:row r="10">
      <x:c r="A10" s="50" t="str">
        <x:v>[0.5, 0.6)</x:v>
      </x:c>
      <x:c r="B10" s="67" t="n">
        <x:v>2</x:v>
      </x:c>
      <x:c r="C10" s="66" t="n">
        <x:f>B10/Resumo!$B$6</x:f>
        <x:v>0.0020408163265306124</x:v>
      </x:c>
      <x:c r="D10" s="50"/>
      <x:c r="E10" s="50" t="str">
        <x:v>table</x:v>
      </x:c>
      <x:c r="F10" s="67" t="n">
        <x:v>5</x:v>
      </x:c>
      <x:c r="G10" s="66" t="n">
        <x:f>F10/SUM($F$5:$F$10)</x:f>
        <x:v>0.001362026695723236</x:v>
      </x:c>
      <x:c r="H10" s="50"/>
      <x:c r="I10" s="50"/>
      <x:c r="J10" s="50"/>
      <x:c r="K10" s="50"/>
      <x:c r="L10" s="50"/>
      <x:c r="M10" s="50"/>
      <x:c r="N10" s="50"/>
      <x:c r="O10" s="50"/>
      <x:c r="P10" s="50"/>
    </x:row>
    <x:row r="11">
      <x:c r="A11" s="50" t="str">
        <x:v>[0.6, 0.7)</x:v>
      </x:c>
      <x:c r="B11" s="67" t="n">
        <x:v>0</x:v>
      </x:c>
      <x:c r="C11" s="66" t="n">
        <x:f>B11/Resumo!$B$6</x:f>
        <x:v>0</x:v>
      </x:c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</x:row>
    <x:row r="12">
      <x:c r="A12" s="50" t="str">
        <x:v>[0.7, 0.8)</x:v>
      </x:c>
      <x:c r="B12" s="67" t="n">
        <x:v>0</x:v>
      </x:c>
      <x:c r="C12" s="66" t="n">
        <x:f>B12/Resumo!$B$6</x:f>
        <x:v>0</x:v>
      </x:c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  <x:c r="P12" s="50"/>
    </x:row>
    <x:row r="13">
      <x:c r="A13" s="50" t="str">
        <x:v>[0.8, 0.9)</x:v>
      </x:c>
      <x:c r="B13" s="67" t="n">
        <x:v>0</x:v>
      </x:c>
      <x:c r="C13" s="66" t="n">
        <x:f>B13/Resumo!$B$6</x:f>
        <x:v>0</x:v>
      </x:c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  <x:c r="P13" s="50"/>
    </x:row>
    <x:row r="14">
      <x:c r="A14" s="50" t="str">
        <x:v>[0.9, 1.0]</x:v>
      </x:c>
      <x:c r="B14" s="67" t="n">
        <x:v>0</x:v>
      </x:c>
      <x:c r="C14" s="66" t="n">
        <x:f>B14/Resumo!$B$6</x:f>
        <x:v>0</x:v>
      </x:c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</x:row>
  </x:sheetData>
  <x:mergeCells>
    <x:mergeCell ref="A1:H1"/>
    <x:mergeCell ref="A3:C3"/>
    <x:mergeCell ref="E3:G3"/>
  </x:mergeCells>
  <x:conditionalFormatting sqref="B5:B14">
    <x:cfRule type="dataBar" priority="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{FA0DF2E2-4FE9-47A7-6D72-AF0454F0351A}</x14:id>
        </x:ext>
      </x:extLst>
    </x:cfRule>
  </x:conditionalFormatting>
  <x:conditionalFormatting sqref="F5:F10">
    <x:cfRule type="dataBar" priority="2">
      <x:dataBar>
        <x:cfvo type="min"/>
        <x:cfvo type="max"/>
        <x:color rgb="FF10B981"/>
      </x:dataBar>
      <x:extLst>
        <x:ext xmlns:x14="http://schemas.microsoft.com/office/spreadsheetml/2009/9/main" uri="{B025F937-C7B1-47D3-B67F-A62EFF666E3E}">
          <x14:id>{DE1D13FE-1509-94CD-48DC-7E2D7063C3F1}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33aa35a4d694a7d"/>
  <x:tableParts count="2">
    <x:tablePart xmlns:r="http://schemas.openxmlformats.org/officeDocument/2006/relationships" r:id="R14b07022634d4b0c"/>
    <x:tablePart xmlns:r="http://schemas.openxmlformats.org/officeDocument/2006/relationships" r:id="Rfd8948957ca24bb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0DF2E2-4FE9-47A7-6D72-AF0454F0351A}">
            <x14:dataBar gradient="1">
              <x14:cfvo type="min"/>
              <x14:cfvo type="max"/>
              <x14:fillColor rgb="FF3B82F6"/>
            </x14:dataBar>
          </x14:cfRule>
          <xm:sqref>B5:B14</xm:sqref>
        </x14:conditionalFormatting>
        <x14:conditionalFormatting>
          <x14:cfRule type="dataBar" priority="2" id="{DE1D13FE-1509-94CD-48DC-7E2D7063C3F1}">
            <x14:dataBar gradient="1">
              <x14:cfvo type="min"/>
              <x14:cfvo type="max"/>
              <x14:fillColor rgb="FF10B981"/>
            </x14:dataBar>
          </x14:cfRule>
          <xm:sqref>F5:F10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.75" hidden="0" customWidth="1"/>
    <x:col min="4" max="4" width="9.630000114440918" hidden="0" customWidth="1"/>
    <x:col min="5" max="5" width="7.5" hidden="0" customWidth="1"/>
    <x:col min="7" max="7" width="12" hidden="0" customWidth="1"/>
    <x:col min="8" max="8" width="16" hidden="0" customWidth="1"/>
    <x:col min="9" max="9" width="12.75" hidden="0" customWidth="1"/>
    <x:col min="10" max="10" width="9.630000114440918" hidden="0" customWidth="1"/>
    <x:col min="11" max="11" width="7.5" hidden="0" customWidth="1"/>
    <x:col min="6" max="6" width="3" hidden="0" customWidth="1"/>
  </x:cols>
  <x:sheetData>
    <x:row r="1" ht="30" customHeight="1">
      <x:c r="A1" s="62" t="str">
        <x:v>Lowest and Highest Component Scores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</x:row>
    <x:row r="3">
      <x:c r="A3" s="63" t="str">
        <x:v>Lowest Component Scores</x:v>
      </x:c>
      <x:c r="B3" s="50"/>
      <x:c r="C3" s="50"/>
      <x:c r="D3" s="50"/>
      <x:c r="E3" s="50"/>
      <x:c r="F3" s="50"/>
      <x:c r="G3" s="63" t="str">
        <x:v>Highest Component Scores</x:v>
      </x:c>
      <x:c r="H3" s="50"/>
      <x:c r="I3" s="50"/>
      <x:c r="J3" s="50"/>
      <x:c r="K3" s="50"/>
    </x:row>
    <x:row r="4">
      <x:c r="A4" s="32" t="str">
        <x:v>Row Index</x:v>
      </x:c>
      <x:c r="B4" s="32" t="str">
        <x:v>Level</x:v>
      </x:c>
      <x:c r="C4" s="32" t="str">
        <x:v>Components</x:v>
      </x:c>
      <x:c r="D4" s="32" t="str">
        <x:v>Changed</x:v>
      </x:c>
      <x:c r="E4" s="32" t="str">
        <x:v>Score</x:v>
      </x:c>
      <x:c r="F4" s="50"/>
      <x:c r="G4" s="32" t="str">
        <x:v>Row Index</x:v>
      </x:c>
      <x:c r="H4" s="32" t="str">
        <x:v>Level</x:v>
      </x:c>
      <x:c r="I4" s="32" t="str">
        <x:v>Components</x:v>
      </x:c>
      <x:c r="J4" s="32" t="str">
        <x:v>Changed</x:v>
      </x:c>
      <x:c r="K4" s="32" t="str">
        <x:v>Score</x:v>
      </x:c>
    </x:row>
    <x:row r="5">
      <x:c r="A5" s="67" t="n">
        <x:v>3</x:v>
      </x:c>
      <x:c r="B5" s="50" t="str">
        <x:v>Facíl</x:v>
      </x:c>
      <x:c r="C5" s="67" t="n">
        <x:v>18</x:v>
      </x:c>
      <x:c r="D5" s="67" t="n">
        <x:v>0</x:v>
      </x:c>
      <x:c r="E5" s="65" t="n">
        <x:v>0</x:v>
      </x:c>
      <x:c r="F5" s="50"/>
      <x:c r="G5" s="67" t="n">
        <x:v>816</x:v>
      </x:c>
      <x:c r="H5" s="50" t="str">
        <x:v>Muito Difícil</x:v>
      </x:c>
      <x:c r="I5" s="67" t="n">
        <x:v>15</x:v>
      </x:c>
      <x:c r="J5" s="67" t="n">
        <x:v>8</x:v>
      </x:c>
      <x:c r="K5" s="65" t="n">
        <x:v>0.533333</x:v>
      </x:c>
    </x:row>
    <x:row r="6">
      <x:c r="A6" s="67" t="n">
        <x:v>4</x:v>
      </x:c>
      <x:c r="B6" s="50" t="str">
        <x:v>Facíl</x:v>
      </x:c>
      <x:c r="C6" s="67" t="n">
        <x:v>14</x:v>
      </x:c>
      <x:c r="D6" s="67" t="n">
        <x:v>0</x:v>
      </x:c>
      <x:c r="E6" s="65" t="n">
        <x:v>0</x:v>
      </x:c>
      <x:c r="F6" s="50"/>
      <x:c r="G6" s="67" t="n">
        <x:v>815</x:v>
      </x:c>
      <x:c r="H6" s="50" t="str">
        <x:v>Muito Difícil</x:v>
      </x:c>
      <x:c r="I6" s="67" t="n">
        <x:v>12</x:v>
      </x:c>
      <x:c r="J6" s="67" t="n">
        <x:v>6</x:v>
      </x:c>
      <x:c r="K6" s="65" t="n">
        <x:v>0.5</x:v>
      </x:c>
    </x:row>
    <x:row r="7">
      <x:c r="A7" s="67" t="n">
        <x:v>9</x:v>
      </x:c>
      <x:c r="B7" s="50" t="str">
        <x:v>Facíl</x:v>
      </x:c>
      <x:c r="C7" s="67" t="n">
        <x:v>14</x:v>
      </x:c>
      <x:c r="D7" s="67" t="n">
        <x:v>0</x:v>
      </x:c>
      <x:c r="E7" s="65" t="n">
        <x:v>0</x:v>
      </x:c>
      <x:c r="F7" s="50"/>
      <x:c r="G7" s="67" t="n">
        <x:v>931</x:v>
      </x:c>
      <x:c r="H7" s="50" t="str">
        <x:v>Difícil</x:v>
      </x:c>
      <x:c r="I7" s="67" t="n">
        <x:v>49</x:v>
      </x:c>
      <x:c r="J7" s="67" t="n">
        <x:v>22</x:v>
      </x:c>
      <x:c r="K7" s="65" t="n">
        <x:v>0.44898</x:v>
      </x:c>
    </x:row>
    <x:row r="8">
      <x:c r="A8" s="67" t="n">
        <x:v>15</x:v>
      </x:c>
      <x:c r="B8" s="50" t="str">
        <x:v>Facíl</x:v>
      </x:c>
      <x:c r="C8" s="67" t="n">
        <x:v>14</x:v>
      </x:c>
      <x:c r="D8" s="67" t="n">
        <x:v>0</x:v>
      </x:c>
      <x:c r="E8" s="65" t="n">
        <x:v>0</x:v>
      </x:c>
      <x:c r="F8" s="50"/>
      <x:c r="G8" s="67" t="n">
        <x:v>939</x:v>
      </x:c>
      <x:c r="H8" s="50" t="str">
        <x:v>Difícil</x:v>
      </x:c>
      <x:c r="I8" s="67" t="n">
        <x:v>52</x:v>
      </x:c>
      <x:c r="J8" s="67" t="n">
        <x:v>22</x:v>
      </x:c>
      <x:c r="K8" s="65" t="n">
        <x:v>0.423077</x:v>
      </x:c>
    </x:row>
    <x:row r="9">
      <x:c r="A9" s="67" t="n">
        <x:v>16</x:v>
      </x:c>
      <x:c r="B9" s="50" t="str">
        <x:v>Facíl</x:v>
      </x:c>
      <x:c r="C9" s="67" t="n">
        <x:v>13</x:v>
      </x:c>
      <x:c r="D9" s="67" t="n">
        <x:v>0</x:v>
      </x:c>
      <x:c r="E9" s="65" t="n">
        <x:v>0</x:v>
      </x:c>
      <x:c r="F9" s="50"/>
      <x:c r="G9" s="67" t="n">
        <x:v>935</x:v>
      </x:c>
      <x:c r="H9" s="50" t="str">
        <x:v>Difícil</x:v>
      </x:c>
      <x:c r="I9" s="67" t="n">
        <x:v>52</x:v>
      </x:c>
      <x:c r="J9" s="67" t="n">
        <x:v>22</x:v>
      </x:c>
      <x:c r="K9" s="65" t="n">
        <x:v>0.423077</x:v>
      </x:c>
    </x:row>
    <x:row r="10">
      <x:c r="A10" s="67" t="n">
        <x:v>19</x:v>
      </x:c>
      <x:c r="B10" s="50" t="str">
        <x:v>Facíl</x:v>
      </x:c>
      <x:c r="C10" s="67" t="n">
        <x:v>14</x:v>
      </x:c>
      <x:c r="D10" s="67" t="n">
        <x:v>0</x:v>
      </x:c>
      <x:c r="E10" s="65" t="n">
        <x:v>0</x:v>
      </x:c>
      <x:c r="F10" s="50"/>
      <x:c r="G10" s="67" t="n">
        <x:v>934</x:v>
      </x:c>
      <x:c r="H10" s="50" t="str">
        <x:v>Difícil</x:v>
      </x:c>
      <x:c r="I10" s="67" t="n">
        <x:v>52</x:v>
      </x:c>
      <x:c r="J10" s="67" t="n">
        <x:v>22</x:v>
      </x:c>
      <x:c r="K10" s="65" t="n">
        <x:v>0.423077</x:v>
      </x:c>
    </x:row>
    <x:row r="11">
      <x:c r="A11" s="67" t="n">
        <x:v>105</x:v>
      </x:c>
      <x:c r="B11" s="50" t="str">
        <x:v>Muito Difícil</x:v>
      </x:c>
      <x:c r="C11" s="67" t="n">
        <x:v>23</x:v>
      </x:c>
      <x:c r="D11" s="67" t="n">
        <x:v>0</x:v>
      </x:c>
      <x:c r="E11" s="65" t="n">
        <x:v>0</x:v>
      </x:c>
      <x:c r="F11" s="50"/>
      <x:c r="G11" s="67" t="n">
        <x:v>944</x:v>
      </x:c>
      <x:c r="H11" s="50" t="str">
        <x:v>Difícil</x:v>
      </x:c>
      <x:c r="I11" s="67" t="n">
        <x:v>61</x:v>
      </x:c>
      <x:c r="J11" s="67" t="n">
        <x:v>24</x:v>
      </x:c>
      <x:c r="K11" s="65" t="n">
        <x:v>0.393443</x:v>
      </x:c>
    </x:row>
    <x:row r="12">
      <x:c r="A12" s="67" t="n">
        <x:v>107</x:v>
      </x:c>
      <x:c r="B12" s="50" t="str">
        <x:v>Muito Difícil</x:v>
      </x:c>
      <x:c r="C12" s="67" t="n">
        <x:v>21</x:v>
      </x:c>
      <x:c r="D12" s="67" t="n">
        <x:v>0</x:v>
      </x:c>
      <x:c r="E12" s="65" t="n">
        <x:v>0</x:v>
      </x:c>
      <x:c r="F12" s="50"/>
      <x:c r="G12" s="67" t="n">
        <x:v>941</x:v>
      </x:c>
      <x:c r="H12" s="50" t="str">
        <x:v>Difícil</x:v>
      </x:c>
      <x:c r="I12" s="67" t="n">
        <x:v>58</x:v>
      </x:c>
      <x:c r="J12" s="67" t="n">
        <x:v>22</x:v>
      </x:c>
      <x:c r="K12" s="65" t="n">
        <x:v>0.37931</x:v>
      </x:c>
    </x:row>
    <x:row r="13">
      <x:c r="A13" s="67" t="n">
        <x:v>112</x:v>
      </x:c>
      <x:c r="B13" s="50" t="str">
        <x:v>Muito Difícil</x:v>
      </x:c>
      <x:c r="C13" s="67" t="n">
        <x:v>16</x:v>
      </x:c>
      <x:c r="D13" s="67" t="n">
        <x:v>0</x:v>
      </x:c>
      <x:c r="E13" s="65" t="n">
        <x:v>0</x:v>
      </x:c>
      <x:c r="F13" s="50"/>
      <x:c r="G13" s="67" t="n">
        <x:v>975</x:v>
      </x:c>
      <x:c r="H13" s="50" t="str">
        <x:v>Muito Difícil</x:v>
      </x:c>
      <x:c r="I13" s="67" t="n">
        <x:v>8</x:v>
      </x:c>
      <x:c r="J13" s="67" t="n">
        <x:v>3</x:v>
      </x:c>
      <x:c r="K13" s="65" t="n">
        <x:v>0.375</x:v>
      </x:c>
    </x:row>
    <x:row r="14">
      <x:c r="A14" s="67" t="n">
        <x:v>114</x:v>
      </x:c>
      <x:c r="B14" s="50" t="str">
        <x:v>Muito Difícil</x:v>
      </x:c>
      <x:c r="C14" s="67" t="n">
        <x:v>27</x:v>
      </x:c>
      <x:c r="D14" s="67" t="n">
        <x:v>0</x:v>
      </x:c>
      <x:c r="E14" s="65" t="n">
        <x:v>0</x:v>
      </x:c>
      <x:c r="F14" s="50"/>
      <x:c r="G14" s="67" t="n">
        <x:v>972</x:v>
      </x:c>
      <x:c r="H14" s="50" t="str">
        <x:v>Muito Difícil</x:v>
      </x:c>
      <x:c r="I14" s="67" t="n">
        <x:v>8</x:v>
      </x:c>
      <x:c r="J14" s="67" t="n">
        <x:v>3</x:v>
      </x:c>
      <x:c r="K14" s="65" t="n">
        <x:v>0.375</x:v>
      </x:c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</x:row>
  </x:sheetData>
  <x:mergeCells>
    <x:mergeCell ref="A1:K1"/>
    <x:mergeCell ref="A3:E3"/>
    <x:mergeCell ref="G3:K3"/>
  </x:mergeCells>
  <x:conditionalFormatting sqref="E5:E14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K5:K14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79135db90e4347ec"/>
    <x:tablePart xmlns:r="http://schemas.openxmlformats.org/officeDocument/2006/relationships" r:id="R04ffb185b9c1495b"/>
  </x:tableParts>
</x:worksheet>
</file>