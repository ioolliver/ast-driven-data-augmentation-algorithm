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tables/table5.xml" ContentType="application/vnd.openxmlformats-officedocument.spreadsheetml.table+xml"/>
  <Override PartName="/xl/worksheets/sheet4.xml" ContentType="application/vnd.openxmlformats-officedocument.spreadsheetml.worksheet+xml"/>
  <Override PartName="/xl/tables/table6.xml" ContentType="application/vnd.openxmlformats-officedocument.spreadsheetml.table+xml"/>
  <Override PartName="/xl/worksheets/sheet5.xml" ContentType="application/vnd.openxmlformats-officedocument.spreadsheetml.worksheet+xml"/>
  <Override PartName="/xl/tables/table7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Por Nível" sheetId="2" state="visible" r:id="rId2"/>
    <sheet name="Distribuição" sheetId="3" state="visible" r:id="rId3"/>
    <sheet name="Extremos" sheetId="4" state="visible" r:id="rId4"/>
    <sheet name="Metad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00"/>
    <numFmt numFmtId="165" formatCode="yyyy-mm-dd h:mm:ss"/>
    <numFmt numFmtId="166" formatCode="yyyy-mm-dd hh:mm:ss"/>
  </numFmts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</font>
    <font>
      <b val="1"/>
      <color rgb="00FFFFFF"/>
    </font>
    <font>
      <b val="1"/>
      <color rgb="0017365D"/>
      <sz val="12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2F75B5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3" borderId="0" applyAlignment="1" pivotButton="0" quotePrefix="0" xfId="0">
      <alignment horizontal="center"/>
    </xf>
    <xf numFmtId="164" fontId="0" fillId="0" borderId="0" pivotButton="0" quotePrefix="0" xfId="0"/>
    <xf numFmtId="0" fontId="4" fillId="4" borderId="0" pivotButton="0" quotePrefix="0" xfId="0"/>
    <xf numFmtId="166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Score combinado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'Distribuição'!D5</f>
            </strRef>
          </tx>
          <spPr>
            <a:ln>
              <a:prstDash val="solid"/>
            </a:ln>
          </spPr>
          <cat>
            <numRef>
              <f>'Distribuição'!$A$6:$A$15</f>
            </numRef>
          </cat>
          <val>
            <numRef>
              <f>'Distribuição'!$D$6:$D$15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Faixa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Quantidade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4</row>
      <rowOff>0</rowOff>
    </from>
    <ext cx="432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SemanticHeadline" displayName="SemanticHeadline" ref="A5:D6" headerRowCount="1">
  <autoFilter ref="A5:D6"/>
  <tableColumns count="4">
    <tableColumn id="1" name="Linhas analisadas"/>
    <tableColumn id="2" name="Média combinada"/>
    <tableColumn id="3" name="Mediana combinada"/>
    <tableColumn id="4" name="Perguntas inalterada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SemanticOverallStats" displayName="SemanticOverallStats" ref="A10:K13" headerRowCount="1">
  <autoFilter ref="A10:K13"/>
  <tableColumns count="11">
    <tableColumn id="1" name="Comparison"/>
    <tableColumn id="2" name="Count"/>
    <tableColumn id="3" name="Min"/>
    <tableColumn id="4" name="Max"/>
    <tableColumn id="5" name="Average"/>
    <tableColumn id="6" name="Median"/>
    <tableColumn id="7" name="Std Dev"/>
    <tableColumn id="8" name="P25"/>
    <tableColumn id="9" name="P75"/>
    <tableColumn id="10" name="P90"/>
    <tableColumn id="11" name="P9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SemanticCombinedByLevel" displayName="SemanticCombinedByLevel" ref="A16:F20" headerRowCount="1">
  <autoFilter ref="A16:F20"/>
  <tableColumns count="6">
    <tableColumn id="1" name="Nível"/>
    <tableColumn id="2" name="Count"/>
    <tableColumn id="3" name="Average"/>
    <tableColumn id="4" name="Median"/>
    <tableColumn id="5" name="P90"/>
    <tableColumn id="6" name="P95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SemanticByLevel" displayName="SemanticByLevel" ref="A5:L17" headerRowCount="1">
  <autoFilter ref="A5:L17"/>
  <tableColumns count="12">
    <tableColumn id="1" name="Nível"/>
    <tableColumn id="2" name="Comparison"/>
    <tableColumn id="3" name="Count"/>
    <tableColumn id="4" name="Min"/>
    <tableColumn id="5" name="Max"/>
    <tableColumn id="6" name="Average"/>
    <tableColumn id="7" name="Median"/>
    <tableColumn id="8" name="Std Dev"/>
    <tableColumn id="9" name="P25"/>
    <tableColumn id="10" name="P75"/>
    <tableColumn id="11" name="P90"/>
    <tableColumn id="12" name="P95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SemanticScoreBands" displayName="SemanticScoreBands" ref="A5:D15" headerRowCount="1">
  <autoFilter ref="A5:D15"/>
  <tableColumns count="4">
    <tableColumn id="1" name="Score Band"/>
    <tableColumn id="2" name="SQL"/>
    <tableColumn id="3" name="Question"/>
    <tableColumn id="4" name="Combined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AnalysisExtremes" displayName="AnalysisExtremes" ref="A5:G25" headerRowCount="1">
  <autoFilter ref="A5:G25"/>
  <tableColumns count="7">
    <tableColumn id="1" name="Grupo"/>
    <tableColumn id="2" name="Rank"/>
    <tableColumn id="3" name="Row Index"/>
    <tableColumn id="4" name="Level"/>
    <tableColumn id="5" name="SQL Score"/>
    <tableColumn id="6" name="Question Score"/>
    <tableColumn id="7" name="Combined Scor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AnalysisMetadata" displayName="AnalysisMetadata" ref="A5:B12" headerRowCount="1">
  <autoFilter ref="A5:B12"/>
  <tableColumns count="2">
    <tableColumn id="1" name="Campo"/>
    <tableColumn id="2" name="Val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Relationship Type="http://schemas.openxmlformats.org/officeDocument/2006/relationships/table" Target="/xl/tables/table3.xml" Id="rId3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5.xml" Id="rId2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 ht="28" customHeight="1">
      <c r="A1" s="1" t="inlineStr">
        <is>
          <t>Análise de Variação Semântica — Geo Dataset - Question paraphrasing only</t>
        </is>
      </c>
    </row>
    <row r="3">
      <c r="A3" s="2" t="inlineStr">
        <is>
          <t>Resultados consolidados da análise de variação semântica</t>
        </is>
      </c>
    </row>
    <row r="5">
      <c r="A5" s="3" t="inlineStr">
        <is>
          <t>Linhas analisadas</t>
        </is>
      </c>
      <c r="B5" s="3" t="inlineStr">
        <is>
          <t>Média combinada</t>
        </is>
      </c>
      <c r="C5" s="3" t="inlineStr">
        <is>
          <t>Mediana combinada</t>
        </is>
      </c>
      <c r="D5" s="3" t="inlineStr">
        <is>
          <t>Perguntas inalteradas</t>
        </is>
      </c>
    </row>
    <row r="6">
      <c r="A6" t="n">
        <v>980</v>
      </c>
      <c r="B6" s="4" t="n">
        <v>0.01005314885555125</v>
      </c>
      <c r="C6" s="4" t="n">
        <v>0.006803036833003706</v>
      </c>
      <c r="D6" t="n">
        <v>0</v>
      </c>
    </row>
    <row r="9">
      <c r="A9" s="5" t="inlineStr">
        <is>
          <t>Estatísticas gerais</t>
        </is>
      </c>
    </row>
    <row r="10">
      <c r="A10" s="3" t="inlineStr">
        <is>
          <t>Comparison</t>
        </is>
      </c>
      <c r="B10" s="3" t="inlineStr">
        <is>
          <t>Count</t>
        </is>
      </c>
      <c r="C10" s="3" t="inlineStr">
        <is>
          <t>Min</t>
        </is>
      </c>
      <c r="D10" s="3" t="inlineStr">
        <is>
          <t>Max</t>
        </is>
      </c>
      <c r="E10" s="3" t="inlineStr">
        <is>
          <t>Average</t>
        </is>
      </c>
      <c r="F10" s="3" t="inlineStr">
        <is>
          <t>Median</t>
        </is>
      </c>
      <c r="G10" s="3" t="inlineStr">
        <is>
          <t>Std Dev</t>
        </is>
      </c>
      <c r="H10" s="3" t="inlineStr">
        <is>
          <t>P25</t>
        </is>
      </c>
      <c r="I10" s="3" t="inlineStr">
        <is>
          <t>P75</t>
        </is>
      </c>
      <c r="J10" s="3" t="inlineStr">
        <is>
          <t>P90</t>
        </is>
      </c>
      <c r="K10" s="3" t="inlineStr">
        <is>
          <t>P95</t>
        </is>
      </c>
    </row>
    <row r="11">
      <c r="A11" t="inlineStr">
        <is>
          <t>Sql</t>
        </is>
      </c>
      <c r="B11" t="n">
        <v>980</v>
      </c>
      <c r="C11" s="4" t="n">
        <v>0</v>
      </c>
      <c r="D11" s="4" t="n">
        <v>2.220446049250313e-16</v>
      </c>
      <c r="E11" s="4" t="n">
        <v>4.837400321581039e-17</v>
      </c>
      <c r="F11" s="4" t="n">
        <v>0</v>
      </c>
      <c r="G11" s="4" t="n">
        <v>8.66495217901506e-17</v>
      </c>
      <c r="H11" s="4" t="n">
        <v>0</v>
      </c>
      <c r="I11" s="4" t="n">
        <v>1.110223024625157e-16</v>
      </c>
      <c r="J11" s="4" t="n">
        <v>2.220446049250313e-16</v>
      </c>
      <c r="K11" s="4" t="n">
        <v>2.220446049250313e-16</v>
      </c>
    </row>
    <row r="12">
      <c r="A12" t="inlineStr">
        <is>
          <t>Question</t>
        </is>
      </c>
      <c r="B12" t="n">
        <v>980</v>
      </c>
      <c r="C12" s="4" t="n">
        <v>0</v>
      </c>
      <c r="D12" s="4" t="n">
        <v>0.1366628384433393</v>
      </c>
      <c r="E12" s="4" t="n">
        <v>0.02010629771110245</v>
      </c>
      <c r="F12" s="4" t="n">
        <v>0.01360607366600741</v>
      </c>
      <c r="G12" s="4" t="n">
        <v>0.01874251131047269</v>
      </c>
      <c r="H12" s="4" t="n">
        <v>0.007476887743703697</v>
      </c>
      <c r="I12" s="4" t="n">
        <v>0.02675055742003257</v>
      </c>
      <c r="J12" s="4" t="n">
        <v>0.04512355207483269</v>
      </c>
      <c r="K12" s="4" t="n">
        <v>0.06160246448280461</v>
      </c>
    </row>
    <row r="13">
      <c r="A13" t="inlineStr">
        <is>
          <t>Combined</t>
        </is>
      </c>
      <c r="B13" t="n">
        <v>980</v>
      </c>
      <c r="C13" s="4" t="n">
        <v>1.110223024625157e-16</v>
      </c>
      <c r="D13" s="4" t="n">
        <v>0.06833141922166963</v>
      </c>
      <c r="E13" s="4" t="n">
        <v>0.01005314885555125</v>
      </c>
      <c r="F13" s="4" t="n">
        <v>0.006803036833003706</v>
      </c>
      <c r="G13" s="4" t="n">
        <v>0.009371255655236346</v>
      </c>
      <c r="H13" s="4" t="n">
        <v>0.003738443871851849</v>
      </c>
      <c r="I13" s="4" t="n">
        <v>0.0133752787100163</v>
      </c>
      <c r="J13" s="4" t="n">
        <v>0.02256177603741635</v>
      </c>
      <c r="K13" s="4" t="n">
        <v>0.03080123224140231</v>
      </c>
    </row>
    <row r="15">
      <c r="A15" s="5" t="inlineStr">
        <is>
          <t>Score combinado por nível</t>
        </is>
      </c>
    </row>
    <row r="16">
      <c r="A16" s="3" t="inlineStr">
        <is>
          <t>Nível</t>
        </is>
      </c>
      <c r="B16" s="3" t="inlineStr">
        <is>
          <t>Count</t>
        </is>
      </c>
      <c r="C16" s="3" t="inlineStr">
        <is>
          <t>Average</t>
        </is>
      </c>
      <c r="D16" s="3" t="inlineStr">
        <is>
          <t>Median</t>
        </is>
      </c>
      <c r="E16" s="3" t="inlineStr">
        <is>
          <t>P90</t>
        </is>
      </c>
      <c r="F16" s="3" t="inlineStr">
        <is>
          <t>P95</t>
        </is>
      </c>
    </row>
    <row r="17">
      <c r="A17" t="inlineStr">
        <is>
          <t>Facíl</t>
        </is>
      </c>
      <c r="B17" t="n">
        <v>245</v>
      </c>
      <c r="C17" s="4" t="n">
        <v>0.01328446538023785</v>
      </c>
      <c r="D17" s="4" t="n">
        <v>0.009841620105779936</v>
      </c>
      <c r="E17" s="4" t="n">
        <v>0.02979049595983784</v>
      </c>
      <c r="F17" s="4" t="n">
        <v>0.03542827935849294</v>
      </c>
    </row>
    <row r="18">
      <c r="A18" t="inlineStr">
        <is>
          <t>Médio</t>
        </is>
      </c>
      <c r="B18" t="n">
        <v>245</v>
      </c>
      <c r="C18" s="4" t="n">
        <v>0.01126567977513451</v>
      </c>
      <c r="D18" s="4" t="n">
        <v>0.008710651186158047</v>
      </c>
      <c r="E18" s="4" t="n">
        <v>0.02296704208522378</v>
      </c>
      <c r="F18" s="4" t="n">
        <v>0.03083033537137795</v>
      </c>
    </row>
    <row r="19">
      <c r="A19" t="inlineStr">
        <is>
          <t>Difícil</t>
        </is>
      </c>
      <c r="B19" t="n">
        <v>245</v>
      </c>
      <c r="C19" s="4" t="n">
        <v>0.007207507220651469</v>
      </c>
      <c r="D19" s="4" t="n">
        <v>0.005462578758022307</v>
      </c>
      <c r="E19" s="4" t="n">
        <v>0.01497592644739817</v>
      </c>
      <c r="F19" s="4" t="n">
        <v>0.01804332291958071</v>
      </c>
    </row>
    <row r="20">
      <c r="A20" t="inlineStr">
        <is>
          <t>Muito Difícil</t>
        </is>
      </c>
      <c r="B20" t="n">
        <v>245</v>
      </c>
      <c r="C20" s="4" t="n">
        <v>0.008454943046181166</v>
      </c>
      <c r="D20" s="4" t="n">
        <v>0.005615707823535265</v>
      </c>
      <c r="E20" s="4" t="n">
        <v>0.01864231155074881</v>
      </c>
      <c r="F20" s="4" t="n">
        <v>0.02947992984796619</v>
      </c>
    </row>
  </sheetData>
  <mergeCells count="4">
    <mergeCell ref="A3:L3"/>
    <mergeCell ref="A9:K9"/>
    <mergeCell ref="A15:F15"/>
    <mergeCell ref="A1:L1"/>
  </mergeCell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28" customHeight="1">
      <c r="A1" s="1" t="inlineStr">
        <is>
          <t>Estatísticas por nível</t>
        </is>
      </c>
    </row>
    <row r="3">
      <c r="A3" s="2" t="inlineStr">
        <is>
          <t>SQL, pergunta e score combinado por dificuldade</t>
        </is>
      </c>
    </row>
    <row r="5">
      <c r="A5" s="3" t="inlineStr">
        <is>
          <t>Nível</t>
        </is>
      </c>
      <c r="B5" s="3" t="inlineStr">
        <is>
          <t>Comparison</t>
        </is>
      </c>
      <c r="C5" s="3" t="inlineStr">
        <is>
          <t>Count</t>
        </is>
      </c>
      <c r="D5" s="3" t="inlineStr">
        <is>
          <t>Min</t>
        </is>
      </c>
      <c r="E5" s="3" t="inlineStr">
        <is>
          <t>Max</t>
        </is>
      </c>
      <c r="F5" s="3" t="inlineStr">
        <is>
          <t>Average</t>
        </is>
      </c>
      <c r="G5" s="3" t="inlineStr">
        <is>
          <t>Median</t>
        </is>
      </c>
      <c r="H5" s="3" t="inlineStr">
        <is>
          <t>Std Dev</t>
        </is>
      </c>
      <c r="I5" s="3" t="inlineStr">
        <is>
          <t>P25</t>
        </is>
      </c>
      <c r="J5" s="3" t="inlineStr">
        <is>
          <t>P75</t>
        </is>
      </c>
      <c r="K5" s="3" t="inlineStr">
        <is>
          <t>P90</t>
        </is>
      </c>
      <c r="L5" s="3" t="inlineStr">
        <is>
          <t>P95</t>
        </is>
      </c>
    </row>
    <row r="6">
      <c r="A6" t="inlineStr">
        <is>
          <t>Facíl</t>
        </is>
      </c>
      <c r="B6" t="inlineStr">
        <is>
          <t>Sql</t>
        </is>
      </c>
      <c r="C6" t="n">
        <v>245</v>
      </c>
      <c r="D6" s="4" t="n">
        <v>0</v>
      </c>
      <c r="E6" s="4" t="n">
        <v>2.220446049250313e-16</v>
      </c>
      <c r="F6" s="4" t="n">
        <v>4.803413902459861e-17</v>
      </c>
      <c r="G6" s="4" t="n">
        <v>0</v>
      </c>
      <c r="H6" s="4" t="n">
        <v>8.515646048988319e-17</v>
      </c>
      <c r="I6" s="4" t="n">
        <v>0</v>
      </c>
      <c r="J6" s="4" t="n">
        <v>1.110223024625157e-16</v>
      </c>
      <c r="K6" s="4" t="n">
        <v>2.220446049250313e-16</v>
      </c>
      <c r="L6" s="4" t="n">
        <v>2.220446049250313e-16</v>
      </c>
    </row>
    <row r="7">
      <c r="A7" t="inlineStr">
        <is>
          <t>Facíl</t>
        </is>
      </c>
      <c r="B7" t="inlineStr">
        <is>
          <t>Question</t>
        </is>
      </c>
      <c r="C7" t="n">
        <v>245</v>
      </c>
      <c r="D7" s="4" t="n">
        <v>0.0003346792644760566</v>
      </c>
      <c r="E7" s="4" t="n">
        <v>0.1253399864702628</v>
      </c>
      <c r="F7" s="4" t="n">
        <v>0.02656893076047565</v>
      </c>
      <c r="G7" s="4" t="n">
        <v>0.01968324021155987</v>
      </c>
      <c r="H7" s="4" t="n">
        <v>0.02330478151366453</v>
      </c>
      <c r="I7" s="4" t="n">
        <v>0.008675365163201332</v>
      </c>
      <c r="J7" s="4" t="n">
        <v>0.03804356230946304</v>
      </c>
      <c r="K7" s="4" t="n">
        <v>0.05958099191967568</v>
      </c>
      <c r="L7" s="4" t="n">
        <v>0.07085655871698587</v>
      </c>
    </row>
    <row r="8">
      <c r="A8" t="inlineStr">
        <is>
          <t>Facíl</t>
        </is>
      </c>
      <c r="B8" t="inlineStr">
        <is>
          <t>Combined</t>
        </is>
      </c>
      <c r="C8" t="n">
        <v>245</v>
      </c>
      <c r="D8" s="4" t="n">
        <v>0.0001673396322380283</v>
      </c>
      <c r="E8" s="4" t="n">
        <v>0.0626699932351315</v>
      </c>
      <c r="F8" s="4" t="n">
        <v>0.01328446538023785</v>
      </c>
      <c r="G8" s="4" t="n">
        <v>0.009841620105779936</v>
      </c>
      <c r="H8" s="4" t="n">
        <v>0.01165239075683227</v>
      </c>
      <c r="I8" s="4" t="n">
        <v>0.004337682581600777</v>
      </c>
      <c r="J8" s="4" t="n">
        <v>0.01902178115473152</v>
      </c>
      <c r="K8" s="4" t="n">
        <v>0.02979049595983784</v>
      </c>
      <c r="L8" s="4" t="n">
        <v>0.03542827935849294</v>
      </c>
    </row>
    <row r="9">
      <c r="A9" t="inlineStr">
        <is>
          <t>Médio</t>
        </is>
      </c>
      <c r="B9" t="inlineStr">
        <is>
          <t>Sql</t>
        </is>
      </c>
      <c r="C9" t="n">
        <v>245</v>
      </c>
      <c r="D9" s="4" t="n">
        <v>0</v>
      </c>
      <c r="E9" s="4" t="n">
        <v>2.220446049250313e-16</v>
      </c>
      <c r="F9" s="4" t="n">
        <v>4.304946422015913e-17</v>
      </c>
      <c r="G9" s="4" t="n">
        <v>0</v>
      </c>
      <c r="H9" s="4" t="n">
        <v>8.215689123778232e-17</v>
      </c>
      <c r="I9" s="4" t="n">
        <v>0</v>
      </c>
      <c r="J9" s="4" t="n">
        <v>0</v>
      </c>
      <c r="K9" s="4" t="n">
        <v>2.220446049250313e-16</v>
      </c>
      <c r="L9" s="4" t="n">
        <v>2.220446049250313e-16</v>
      </c>
    </row>
    <row r="10">
      <c r="A10" t="inlineStr">
        <is>
          <t>Médio</t>
        </is>
      </c>
      <c r="B10" t="inlineStr">
        <is>
          <t>Question</t>
        </is>
      </c>
      <c r="C10" t="n">
        <v>245</v>
      </c>
      <c r="D10" s="4" t="n">
        <v>0.0009123046711394522</v>
      </c>
      <c r="E10" s="4" t="n">
        <v>0.1366628384433393</v>
      </c>
      <c r="F10" s="4" t="n">
        <v>0.02253135955026896</v>
      </c>
      <c r="G10" s="4" t="n">
        <v>0.01742130237231609</v>
      </c>
      <c r="H10" s="4" t="n">
        <v>0.01899044364174649</v>
      </c>
      <c r="I10" s="4" t="n">
        <v>0.008466269665043491</v>
      </c>
      <c r="J10" s="4" t="n">
        <v>0.031738373394542</v>
      </c>
      <c r="K10" s="4" t="n">
        <v>0.04593408417044757</v>
      </c>
      <c r="L10" s="4" t="n">
        <v>0.06166067074275572</v>
      </c>
    </row>
    <row r="11">
      <c r="A11" t="inlineStr">
        <is>
          <t>Médio</t>
        </is>
      </c>
      <c r="B11" t="inlineStr">
        <is>
          <t>Combined</t>
        </is>
      </c>
      <c r="C11" t="n">
        <v>245</v>
      </c>
      <c r="D11" s="4" t="n">
        <v>0.0004561523355697261</v>
      </c>
      <c r="E11" s="4" t="n">
        <v>0.06833141922166963</v>
      </c>
      <c r="F11" s="4" t="n">
        <v>0.01126567977513451</v>
      </c>
      <c r="G11" s="4" t="n">
        <v>0.008710651186158047</v>
      </c>
      <c r="H11" s="4" t="n">
        <v>0.009495221820873241</v>
      </c>
      <c r="I11" s="4" t="n">
        <v>0.004233134832521745</v>
      </c>
      <c r="J11" s="4" t="n">
        <v>0.01586918669727111</v>
      </c>
      <c r="K11" s="4" t="n">
        <v>0.02296704208522378</v>
      </c>
      <c r="L11" s="4" t="n">
        <v>0.03083033537137795</v>
      </c>
    </row>
    <row r="12">
      <c r="A12" t="inlineStr">
        <is>
          <t>Difícil</t>
        </is>
      </c>
      <c r="B12" t="inlineStr">
        <is>
          <t>Sql</t>
        </is>
      </c>
      <c r="C12" t="n">
        <v>245</v>
      </c>
      <c r="D12" s="4" t="n">
        <v>0</v>
      </c>
      <c r="E12" s="4" t="n">
        <v>2.220446049250313e-16</v>
      </c>
      <c r="F12" s="4" t="n">
        <v>4.848729127954766e-17</v>
      </c>
      <c r="G12" s="4" t="n">
        <v>0</v>
      </c>
      <c r="H12" s="4" t="n">
        <v>8.923303177652132e-17</v>
      </c>
      <c r="I12" s="4" t="n">
        <v>0</v>
      </c>
      <c r="J12" s="4" t="n">
        <v>0</v>
      </c>
      <c r="K12" s="4" t="n">
        <v>2.220446049250313e-16</v>
      </c>
      <c r="L12" s="4" t="n">
        <v>2.220446049250313e-16</v>
      </c>
    </row>
    <row r="13">
      <c r="A13" t="inlineStr">
        <is>
          <t>Difícil</t>
        </is>
      </c>
      <c r="B13" t="inlineStr">
        <is>
          <t>Question</t>
        </is>
      </c>
      <c r="C13" t="n">
        <v>245</v>
      </c>
      <c r="D13" s="4" t="n">
        <v>0.001134732744950573</v>
      </c>
      <c r="E13" s="4" t="n">
        <v>0.07979026674139822</v>
      </c>
      <c r="F13" s="4" t="n">
        <v>0.01441501444130289</v>
      </c>
      <c r="G13" s="4" t="n">
        <v>0.01092515751604461</v>
      </c>
      <c r="H13" s="4" t="n">
        <v>0.01167347310810461</v>
      </c>
      <c r="I13" s="4" t="n">
        <v>0.006676572567592798</v>
      </c>
      <c r="J13" s="4" t="n">
        <v>0.01847732002931213</v>
      </c>
      <c r="K13" s="4" t="n">
        <v>0.02995185289479625</v>
      </c>
      <c r="L13" s="4" t="n">
        <v>0.03608664583916143</v>
      </c>
    </row>
    <row r="14">
      <c r="A14" t="inlineStr">
        <is>
          <t>Difícil</t>
        </is>
      </c>
      <c r="B14" t="inlineStr">
        <is>
          <t>Combined</t>
        </is>
      </c>
      <c r="C14" t="n">
        <v>245</v>
      </c>
      <c r="D14" s="4" t="n">
        <v>0.0005673663724752864</v>
      </c>
      <c r="E14" s="4" t="n">
        <v>0.03989513337069911</v>
      </c>
      <c r="F14" s="4" t="n">
        <v>0.007207507220651469</v>
      </c>
      <c r="G14" s="4" t="n">
        <v>0.005462578758022307</v>
      </c>
      <c r="H14" s="4" t="n">
        <v>0.005836736554052305</v>
      </c>
      <c r="I14" s="4" t="n">
        <v>0.003338286283796399</v>
      </c>
      <c r="J14" s="4" t="n">
        <v>0.009238660014656175</v>
      </c>
      <c r="K14" s="4" t="n">
        <v>0.01497592644739817</v>
      </c>
      <c r="L14" s="4" t="n">
        <v>0.01804332291958071</v>
      </c>
    </row>
    <row r="15">
      <c r="A15" t="inlineStr">
        <is>
          <t>Muito Difícil</t>
        </is>
      </c>
      <c r="B15" t="inlineStr">
        <is>
          <t>Sql</t>
        </is>
      </c>
      <c r="C15" t="n">
        <v>245</v>
      </c>
      <c r="D15" s="4" t="n">
        <v>0</v>
      </c>
      <c r="E15" s="4" t="n">
        <v>2.220446049250313e-16</v>
      </c>
      <c r="F15" s="4" t="n">
        <v>5.392511833893617e-17</v>
      </c>
      <c r="G15" s="4" t="n">
        <v>0</v>
      </c>
      <c r="H15" s="4" t="n">
        <v>8.949498906818959e-17</v>
      </c>
      <c r="I15" s="4" t="n">
        <v>0</v>
      </c>
      <c r="J15" s="4" t="n">
        <v>1.110223024625157e-16</v>
      </c>
      <c r="K15" s="4" t="n">
        <v>2.220446049250313e-16</v>
      </c>
      <c r="L15" s="4" t="n">
        <v>2.220446049250313e-16</v>
      </c>
    </row>
    <row r="16">
      <c r="A16" t="inlineStr">
        <is>
          <t>Muito Difícil</t>
        </is>
      </c>
      <c r="B16" t="inlineStr">
        <is>
          <t>Question</t>
        </is>
      </c>
      <c r="C16" t="n">
        <v>245</v>
      </c>
      <c r="D16" s="4" t="n">
        <v>0</v>
      </c>
      <c r="E16" s="4" t="n">
        <v>0.08720880992116775</v>
      </c>
      <c r="F16" s="4" t="n">
        <v>0.01690988609236228</v>
      </c>
      <c r="G16" s="4" t="n">
        <v>0.01123141564707053</v>
      </c>
      <c r="H16" s="4" t="n">
        <v>0.01657868667986117</v>
      </c>
      <c r="I16" s="4" t="n">
        <v>0.006676829695736464</v>
      </c>
      <c r="J16" s="4" t="n">
        <v>0.01994212734046008</v>
      </c>
      <c r="K16" s="4" t="n">
        <v>0.03728462310149754</v>
      </c>
      <c r="L16" s="4" t="n">
        <v>0.05895985969593219</v>
      </c>
    </row>
    <row r="17">
      <c r="A17" t="inlineStr">
        <is>
          <t>Muito Difícil</t>
        </is>
      </c>
      <c r="B17" t="inlineStr">
        <is>
          <t>Combined</t>
        </is>
      </c>
      <c r="C17" t="n">
        <v>245</v>
      </c>
      <c r="D17" s="4" t="n">
        <v>1.110223024625157e-16</v>
      </c>
      <c r="E17" s="4" t="n">
        <v>0.04360440496058388</v>
      </c>
      <c r="F17" s="4" t="n">
        <v>0.008454943046181166</v>
      </c>
      <c r="G17" s="4" t="n">
        <v>0.005615707823535265</v>
      </c>
      <c r="H17" s="4" t="n">
        <v>0.008289343339930587</v>
      </c>
      <c r="I17" s="4" t="n">
        <v>0.003338414847868232</v>
      </c>
      <c r="J17" s="4" t="n">
        <v>0.009971063670230096</v>
      </c>
      <c r="K17" s="4" t="n">
        <v>0.01864231155074881</v>
      </c>
      <c r="L17" s="4" t="n">
        <v>0.02947992984796619</v>
      </c>
    </row>
  </sheetData>
  <mergeCells count="2">
    <mergeCell ref="A3:L3"/>
    <mergeCell ref="A1:L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</cols>
  <sheetData>
    <row r="1" ht="28" customHeight="1">
      <c r="A1" s="1" t="inlineStr">
        <is>
          <t>Distribuição por faixas de score</t>
        </is>
      </c>
    </row>
    <row r="3">
      <c r="A3" s="2" t="inlineStr">
        <is>
          <t>Contagem para SQL, pergunta e score combinado</t>
        </is>
      </c>
    </row>
    <row r="5">
      <c r="A5" s="3" t="inlineStr">
        <is>
          <t>Score Band</t>
        </is>
      </c>
      <c r="B5" s="3" t="inlineStr">
        <is>
          <t>SQL</t>
        </is>
      </c>
      <c r="C5" s="3" t="inlineStr">
        <is>
          <t>Question</t>
        </is>
      </c>
      <c r="D5" s="3" t="inlineStr">
        <is>
          <t>Combined</t>
        </is>
      </c>
    </row>
    <row r="6">
      <c r="A6" t="inlineStr">
        <is>
          <t>[0.0, 0.1)</t>
        </is>
      </c>
      <c r="B6" t="n">
        <v>980</v>
      </c>
      <c r="C6" t="n">
        <v>976</v>
      </c>
      <c r="D6" t="n">
        <v>980</v>
      </c>
    </row>
    <row r="7">
      <c r="A7" t="inlineStr">
        <is>
          <t>[0.1, 0.2)</t>
        </is>
      </c>
      <c r="B7" t="n">
        <v>0</v>
      </c>
      <c r="C7" t="n">
        <v>4</v>
      </c>
      <c r="D7" t="n">
        <v>0</v>
      </c>
    </row>
    <row r="8">
      <c r="A8" t="inlineStr">
        <is>
          <t>[0.2, 0.3)</t>
        </is>
      </c>
      <c r="B8" t="n">
        <v>0</v>
      </c>
      <c r="C8" t="n">
        <v>0</v>
      </c>
      <c r="D8" t="n">
        <v>0</v>
      </c>
    </row>
    <row r="9">
      <c r="A9" t="inlineStr">
        <is>
          <t>[0.3, 0.4)</t>
        </is>
      </c>
      <c r="B9" t="n">
        <v>0</v>
      </c>
      <c r="C9" t="n">
        <v>0</v>
      </c>
      <c r="D9" t="n">
        <v>0</v>
      </c>
    </row>
    <row r="10">
      <c r="A10" t="inlineStr">
        <is>
          <t>[0.4, 0.5)</t>
        </is>
      </c>
      <c r="B10" t="n">
        <v>0</v>
      </c>
      <c r="C10" t="n">
        <v>0</v>
      </c>
      <c r="D10" t="n">
        <v>0</v>
      </c>
    </row>
    <row r="11">
      <c r="A11" t="inlineStr">
        <is>
          <t>[0.5, 0.6)</t>
        </is>
      </c>
      <c r="B11" t="n">
        <v>0</v>
      </c>
      <c r="C11" t="n">
        <v>0</v>
      </c>
      <c r="D11" t="n">
        <v>0</v>
      </c>
    </row>
    <row r="12">
      <c r="A12" t="inlineStr">
        <is>
          <t>[0.6, 0.7)</t>
        </is>
      </c>
      <c r="B12" t="n">
        <v>0</v>
      </c>
      <c r="C12" t="n">
        <v>0</v>
      </c>
      <c r="D12" t="n">
        <v>0</v>
      </c>
    </row>
    <row r="13">
      <c r="A13" t="inlineStr">
        <is>
          <t>[0.7, 0.8)</t>
        </is>
      </c>
      <c r="B13" t="n">
        <v>0</v>
      </c>
      <c r="C13" t="n">
        <v>0</v>
      </c>
      <c r="D13" t="n">
        <v>0</v>
      </c>
    </row>
    <row r="14">
      <c r="A14" t="inlineStr">
        <is>
          <t>[0.8, 0.9)</t>
        </is>
      </c>
      <c r="B14" t="n">
        <v>0</v>
      </c>
      <c r="C14" t="n">
        <v>0</v>
      </c>
      <c r="D14" t="n">
        <v>0</v>
      </c>
    </row>
    <row r="15">
      <c r="A15" t="inlineStr">
        <is>
          <t>[0.9, 1.0]</t>
        </is>
      </c>
      <c r="B15" t="n">
        <v>0</v>
      </c>
      <c r="C15" t="n">
        <v>0</v>
      </c>
      <c r="D15" t="n">
        <v>0</v>
      </c>
    </row>
  </sheetData>
  <mergeCells count="2">
    <mergeCell ref="A3:L3"/>
    <mergeCell ref="A1:L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4" customWidth="1" min="3" max="3"/>
    <col width="20" customWidth="1" min="4" max="4"/>
    <col width="16" customWidth="1" min="5" max="5"/>
    <col width="20" customWidth="1" min="6" max="6"/>
    <col width="20" customWidth="1" min="7" max="7"/>
  </cols>
  <sheetData>
    <row r="1" ht="28" customHeight="1">
      <c r="A1" s="1" t="inlineStr">
        <is>
          <t>Menores e maiores scores combinados</t>
        </is>
      </c>
    </row>
    <row r="3">
      <c r="A3" s="2" t="inlineStr">
        <is>
          <t>Linhas com menor e maior variação semântica agregada</t>
        </is>
      </c>
    </row>
    <row r="5">
      <c r="A5" s="3" t="inlineStr">
        <is>
          <t>Grupo</t>
        </is>
      </c>
      <c r="B5" s="3" t="inlineStr">
        <is>
          <t>Rank</t>
        </is>
      </c>
      <c r="C5" s="3" t="inlineStr">
        <is>
          <t>Row Index</t>
        </is>
      </c>
      <c r="D5" s="3" t="inlineStr">
        <is>
          <t>Level</t>
        </is>
      </c>
      <c r="E5" s="3" t="inlineStr">
        <is>
          <t>SQL Score</t>
        </is>
      </c>
      <c r="F5" s="3" t="inlineStr">
        <is>
          <t>Question Score</t>
        </is>
      </c>
      <c r="G5" s="3" t="inlineStr">
        <is>
          <t>Combined Score</t>
        </is>
      </c>
    </row>
    <row r="6">
      <c r="A6" t="inlineStr">
        <is>
          <t>Menor</t>
        </is>
      </c>
      <c r="B6" t="n">
        <v>1</v>
      </c>
      <c r="C6" t="n">
        <v>816</v>
      </c>
      <c r="D6" t="inlineStr">
        <is>
          <t>Muito Difícil</t>
        </is>
      </c>
      <c r="E6" s="4" t="n">
        <v>2.220446049250313e-16</v>
      </c>
      <c r="F6" s="4" t="n">
        <v>0</v>
      </c>
      <c r="G6" s="4" t="n">
        <v>1.110223024625157e-16</v>
      </c>
    </row>
    <row r="7">
      <c r="A7" t="inlineStr">
        <is>
          <t>Menor</t>
        </is>
      </c>
      <c r="B7" t="n">
        <v>2</v>
      </c>
      <c r="C7" t="n">
        <v>854</v>
      </c>
      <c r="D7" t="inlineStr">
        <is>
          <t>Facíl</t>
        </is>
      </c>
      <c r="E7" s="4" t="n">
        <v>0</v>
      </c>
      <c r="F7" s="4" t="n">
        <v>0.0003346792644760566</v>
      </c>
      <c r="G7" s="4" t="n">
        <v>0.0001673396322380283</v>
      </c>
    </row>
    <row r="8">
      <c r="A8" t="inlineStr">
        <is>
          <t>Menor</t>
        </is>
      </c>
      <c r="B8" t="n">
        <v>3</v>
      </c>
      <c r="C8" t="n">
        <v>852</v>
      </c>
      <c r="D8" t="inlineStr">
        <is>
          <t>Facíl</t>
        </is>
      </c>
      <c r="E8" s="4" t="n">
        <v>0</v>
      </c>
      <c r="F8" s="4" t="n">
        <v>0.0003629174910759758</v>
      </c>
      <c r="G8" s="4" t="n">
        <v>0.0001814587455379879</v>
      </c>
    </row>
    <row r="9">
      <c r="A9" t="inlineStr">
        <is>
          <t>Menor</t>
        </is>
      </c>
      <c r="B9" t="n">
        <v>4</v>
      </c>
      <c r="C9" t="n">
        <v>831</v>
      </c>
      <c r="D9" t="inlineStr">
        <is>
          <t>Muito Difícil</t>
        </is>
      </c>
      <c r="E9" s="4" t="n">
        <v>2.220446049250313e-16</v>
      </c>
      <c r="F9" s="4" t="n">
        <v>0.0003677708370961597</v>
      </c>
      <c r="G9" s="4" t="n">
        <v>0.0001838854185481908</v>
      </c>
    </row>
    <row r="10">
      <c r="A10" t="inlineStr">
        <is>
          <t>Menor</t>
        </is>
      </c>
      <c r="B10" t="n">
        <v>5</v>
      </c>
      <c r="C10" t="n">
        <v>150</v>
      </c>
      <c r="D10" t="inlineStr">
        <is>
          <t>Facíl</t>
        </is>
      </c>
      <c r="E10" s="4" t="n">
        <v>0</v>
      </c>
      <c r="F10" s="4" t="n">
        <v>0.0006390851285122956</v>
      </c>
      <c r="G10" s="4" t="n">
        <v>0.0003195425642561478</v>
      </c>
    </row>
    <row r="11">
      <c r="A11" t="inlineStr">
        <is>
          <t>Menor</t>
        </is>
      </c>
      <c r="B11" t="n">
        <v>6</v>
      </c>
      <c r="C11" t="n">
        <v>969</v>
      </c>
      <c r="D11" t="inlineStr">
        <is>
          <t>Muito Difícil</t>
        </is>
      </c>
      <c r="E11" s="4" t="n">
        <v>0</v>
      </c>
      <c r="F11" s="4" t="n">
        <v>0.00072420821684549</v>
      </c>
      <c r="G11" s="4" t="n">
        <v>0.000362104108422745</v>
      </c>
    </row>
    <row r="12">
      <c r="A12" t="inlineStr">
        <is>
          <t>Menor</t>
        </is>
      </c>
      <c r="B12" t="n">
        <v>7</v>
      </c>
      <c r="C12" t="n">
        <v>485</v>
      </c>
      <c r="D12" t="inlineStr">
        <is>
          <t>Médio</t>
        </is>
      </c>
      <c r="E12" s="4" t="n">
        <v>0</v>
      </c>
      <c r="F12" s="4" t="n">
        <v>0.0009123046711394522</v>
      </c>
      <c r="G12" s="4" t="n">
        <v>0.0004561523355697261</v>
      </c>
    </row>
    <row r="13">
      <c r="A13" t="inlineStr">
        <is>
          <t>Menor</t>
        </is>
      </c>
      <c r="B13" t="n">
        <v>8</v>
      </c>
      <c r="C13" t="n">
        <v>396</v>
      </c>
      <c r="D13" t="inlineStr">
        <is>
          <t>Muito Difícil</t>
        </is>
      </c>
      <c r="E13" s="4" t="n">
        <v>2.220446049250313e-16</v>
      </c>
      <c r="F13" s="4" t="n">
        <v>0.001111855941522411</v>
      </c>
      <c r="G13" s="4" t="n">
        <v>0.0005559279707613163</v>
      </c>
    </row>
    <row r="14">
      <c r="A14" t="inlineStr">
        <is>
          <t>Menor</t>
        </is>
      </c>
      <c r="B14" t="n">
        <v>9</v>
      </c>
      <c r="C14" t="n">
        <v>688</v>
      </c>
      <c r="D14" t="inlineStr">
        <is>
          <t>Muito Difícil</t>
        </is>
      </c>
      <c r="E14" s="4" t="n">
        <v>0</v>
      </c>
      <c r="F14" s="4" t="n">
        <v>0.001113203480218705</v>
      </c>
      <c r="G14" s="4" t="n">
        <v>0.0005566017401093526</v>
      </c>
    </row>
    <row r="15">
      <c r="A15" t="inlineStr">
        <is>
          <t>Menor</t>
        </is>
      </c>
      <c r="B15" t="n">
        <v>10</v>
      </c>
      <c r="C15" t="n">
        <v>791</v>
      </c>
      <c r="D15" t="inlineStr">
        <is>
          <t>Difícil</t>
        </is>
      </c>
      <c r="E15" s="4" t="n">
        <v>0</v>
      </c>
      <c r="F15" s="4" t="n">
        <v>0.001134732744950573</v>
      </c>
      <c r="G15" s="4" t="n">
        <v>0.0005673663724752864</v>
      </c>
    </row>
    <row r="16">
      <c r="A16" t="inlineStr">
        <is>
          <t>Maior</t>
        </is>
      </c>
      <c r="B16" t="n">
        <v>1</v>
      </c>
      <c r="C16" t="n">
        <v>753</v>
      </c>
      <c r="D16" t="inlineStr">
        <is>
          <t>Médio</t>
        </is>
      </c>
      <c r="E16" s="4" t="n">
        <v>0</v>
      </c>
      <c r="F16" s="4" t="n">
        <v>0.1366628384433393</v>
      </c>
      <c r="G16" s="4" t="n">
        <v>0.06833141922166963</v>
      </c>
    </row>
    <row r="17">
      <c r="A17" t="inlineStr">
        <is>
          <t>Maior</t>
        </is>
      </c>
      <c r="B17" t="n">
        <v>2</v>
      </c>
      <c r="C17" t="n">
        <v>159</v>
      </c>
      <c r="D17" t="inlineStr">
        <is>
          <t>Facíl</t>
        </is>
      </c>
      <c r="E17" s="4" t="n">
        <v>2.220446049250313e-16</v>
      </c>
      <c r="F17" s="4" t="n">
        <v>0.1253399864702628</v>
      </c>
      <c r="G17" s="4" t="n">
        <v>0.0626699932351315</v>
      </c>
    </row>
    <row r="18">
      <c r="A18" t="inlineStr">
        <is>
          <t>Maior</t>
        </is>
      </c>
      <c r="B18" t="n">
        <v>3</v>
      </c>
      <c r="C18" t="n">
        <v>308</v>
      </c>
      <c r="D18" t="inlineStr">
        <is>
          <t>Facíl</t>
        </is>
      </c>
      <c r="E18" s="4" t="n">
        <v>0</v>
      </c>
      <c r="F18" s="4" t="n">
        <v>0.1147413287872288</v>
      </c>
      <c r="G18" s="4" t="n">
        <v>0.05737066439361438</v>
      </c>
    </row>
    <row r="19">
      <c r="A19" t="inlineStr">
        <is>
          <t>Maior</t>
        </is>
      </c>
      <c r="B19" t="n">
        <v>4</v>
      </c>
      <c r="C19" t="n">
        <v>19</v>
      </c>
      <c r="D19" t="inlineStr">
        <is>
          <t>Facíl</t>
        </is>
      </c>
      <c r="E19" s="4" t="n">
        <v>1.110223024625157e-16</v>
      </c>
      <c r="F19" s="4" t="n">
        <v>0.1097843557648156</v>
      </c>
      <c r="G19" s="4" t="n">
        <v>0.05489217788240786</v>
      </c>
    </row>
    <row r="20">
      <c r="A20" t="inlineStr">
        <is>
          <t>Maior</t>
        </is>
      </c>
      <c r="B20" t="n">
        <v>5</v>
      </c>
      <c r="C20" t="n">
        <v>701</v>
      </c>
      <c r="D20" t="inlineStr">
        <is>
          <t>Facíl</t>
        </is>
      </c>
      <c r="E20" s="4" t="n">
        <v>0</v>
      </c>
      <c r="F20" s="4" t="n">
        <v>0.09748216417591438</v>
      </c>
      <c r="G20" s="4" t="n">
        <v>0.04874108208795719</v>
      </c>
    </row>
    <row r="21">
      <c r="A21" t="inlineStr">
        <is>
          <t>Maior</t>
        </is>
      </c>
      <c r="B21" t="n">
        <v>6</v>
      </c>
      <c r="C21" t="n">
        <v>721</v>
      </c>
      <c r="D21" t="inlineStr">
        <is>
          <t>Facíl</t>
        </is>
      </c>
      <c r="E21" s="4" t="n">
        <v>0</v>
      </c>
      <c r="F21" s="4" t="n">
        <v>0.09109420698956161</v>
      </c>
      <c r="G21" s="4" t="n">
        <v>0.04554710349478081</v>
      </c>
    </row>
    <row r="22">
      <c r="A22" t="inlineStr">
        <is>
          <t>Maior</t>
        </is>
      </c>
      <c r="B22" t="n">
        <v>7</v>
      </c>
      <c r="C22" t="n">
        <v>560</v>
      </c>
      <c r="D22" t="inlineStr">
        <is>
          <t>Facíl</t>
        </is>
      </c>
      <c r="E22" s="4" t="n">
        <v>0</v>
      </c>
      <c r="F22" s="4" t="n">
        <v>0.09106483277841682</v>
      </c>
      <c r="G22" s="4" t="n">
        <v>0.04553241638920841</v>
      </c>
    </row>
    <row r="23">
      <c r="A23" t="inlineStr">
        <is>
          <t>Maior</t>
        </is>
      </c>
      <c r="B23" t="n">
        <v>8</v>
      </c>
      <c r="C23" t="n">
        <v>866</v>
      </c>
      <c r="D23" t="inlineStr">
        <is>
          <t>Facíl</t>
        </is>
      </c>
      <c r="E23" s="4" t="n">
        <v>0</v>
      </c>
      <c r="F23" s="4" t="n">
        <v>0.08881230321288958</v>
      </c>
      <c r="G23" s="4" t="n">
        <v>0.04440615160644479</v>
      </c>
    </row>
    <row r="24">
      <c r="A24" t="inlineStr">
        <is>
          <t>Maior</t>
        </is>
      </c>
      <c r="B24" t="n">
        <v>9</v>
      </c>
      <c r="C24" t="n">
        <v>110</v>
      </c>
      <c r="D24" t="inlineStr">
        <is>
          <t>Muito Difícil</t>
        </is>
      </c>
      <c r="E24" s="4" t="n">
        <v>0</v>
      </c>
      <c r="F24" s="4" t="n">
        <v>0.08720880992116775</v>
      </c>
      <c r="G24" s="4" t="n">
        <v>0.04360440496058388</v>
      </c>
    </row>
    <row r="25">
      <c r="A25" t="inlineStr">
        <is>
          <t>Maior</t>
        </is>
      </c>
      <c r="B25" t="n">
        <v>10</v>
      </c>
      <c r="C25" t="n">
        <v>564</v>
      </c>
      <c r="D25" t="inlineStr">
        <is>
          <t>Facíl</t>
        </is>
      </c>
      <c r="E25" s="4" t="n">
        <v>0</v>
      </c>
      <c r="F25" s="4" t="n">
        <v>0.08675153768973731</v>
      </c>
      <c r="G25" s="4" t="n">
        <v>0.04337576884486866</v>
      </c>
    </row>
  </sheetData>
  <mergeCells count="2">
    <mergeCell ref="A3:L3"/>
    <mergeCell ref="A1:L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95" customWidth="1" min="2" max="2"/>
  </cols>
  <sheetData>
    <row r="1" ht="28" customHeight="1">
      <c r="A1" s="1" t="inlineStr">
        <is>
          <t>Metadados, definição e limitações</t>
        </is>
      </c>
    </row>
    <row r="3">
      <c r="A3" s="2" t="inlineStr">
        <is>
          <t>Configuração, definição da métrica e limitações</t>
        </is>
      </c>
    </row>
    <row r="5">
      <c r="A5" s="3" t="inlineStr">
        <is>
          <t>Campo</t>
        </is>
      </c>
      <c r="B5" s="3" t="inlineStr">
        <is>
          <t>Valor</t>
        </is>
      </c>
    </row>
    <row r="6">
      <c r="A6" t="inlineStr">
        <is>
          <t>Generated at</t>
        </is>
      </c>
      <c r="B6" s="6" t="n">
        <v>46256.96050925926</v>
      </c>
    </row>
    <row r="7">
      <c r="A7" t="inlineStr">
        <is>
          <t>Input</t>
        </is>
      </c>
      <c r="B7" t="inlineStr">
        <is>
          <t>/home/isaquenascimento/ast-driven-data-augmentation-algorithm/data/geo_dataset/augmentation_method_results/geo_dataset_paraphrase_only_augmented.json</t>
        </is>
      </c>
    </row>
    <row r="8">
      <c r="A8" t="inlineStr">
        <is>
          <t>Rows analyzed</t>
        </is>
      </c>
      <c r="B8" t="n">
        <v>980</v>
      </c>
    </row>
    <row r="9">
      <c r="A9" t="inlineStr">
        <is>
          <t>Embedding model</t>
        </is>
      </c>
      <c r="B9" t="inlineStr">
        <is>
          <t>jinaai/jina-embeddings-v3</t>
        </is>
      </c>
    </row>
    <row r="10">
      <c r="A10" t="inlineStr">
        <is>
          <t>Embedding task</t>
        </is>
      </c>
      <c r="B10" t="inlineStr">
        <is>
          <t>text-matching</t>
        </is>
      </c>
    </row>
    <row r="11">
      <c r="A11" t="inlineStr">
        <is>
          <t>Score formula</t>
        </is>
      </c>
      <c r="B11" t="inlineStr">
        <is>
          <t>clip(1 - cosine_similarity(original, changed), 0, 1)</t>
        </is>
      </c>
    </row>
    <row r="12">
      <c r="A12" t="inlineStr">
        <is>
          <t>Model license</t>
        </is>
      </c>
      <c r="B12" t="inlineStr">
        <is>
          <t>CC BY-NC 4.0</t>
        </is>
      </c>
    </row>
    <row r="15">
      <c r="A15" s="5" t="inlineStr">
        <is>
          <t>Definição</t>
        </is>
      </c>
    </row>
    <row r="16">
      <c r="A16" s="7" t="inlineStr">
        <is>
          <t>A score of 0 represents no detected semantic variation in embedding space; a score of 1 represents maximum variation under the clipped cosine metric.</t>
        </is>
      </c>
    </row>
    <row r="17"/>
    <row r="18"/>
    <row r="20">
      <c r="A20" s="5" t="inlineStr">
        <is>
          <t>Limitação</t>
        </is>
      </c>
    </row>
    <row r="21">
      <c r="A21" s="7" t="inlineStr">
        <is>
          <t>This score is an embedding-based heuristic for variation strength. It does not prove SQL behavioral equivalence or difference.</t>
        </is>
      </c>
    </row>
    <row r="22"/>
    <row r="23"/>
    <row r="24"/>
  </sheetData>
  <mergeCells count="6">
    <mergeCell ref="A1:J1"/>
    <mergeCell ref="A16:J18"/>
    <mergeCell ref="A3:J3"/>
    <mergeCell ref="A15:J15"/>
    <mergeCell ref="A20:J20"/>
    <mergeCell ref="A21:J24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2026-08-22T23:03:08Z</dcterms:created>
  <dcterms:modified xsi:type="dcterms:W3CDTF">2026-08-22T23:03:08Z</dcterms:modified>
</cp:coreProperties>
</file>