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Nível" sheetId="2" state="visible" r:id="rId2"/>
    <sheet name="Distribuição" sheetId="3" state="visible" r:id="rId3"/>
    <sheet name="Componentes" sheetId="4" state="visible" r:id="rId4"/>
    <sheet name="Extremos" sheetId="5" state="visible" r:id="rId5"/>
    <sheet name="Metad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Distribuição dos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'Distribuição'!B5</f>
            </strRef>
          </tx>
          <spPr>
            <a:ln>
              <a:prstDash val="solid"/>
            </a:ln>
          </spPr>
          <cat>
            <numRef>
              <f>'Distribuição'!$A$6:$A$15</f>
            </numRef>
          </cat>
          <val>
            <numRef>
              <f>'Distribuição'!$B$6:$B$15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Componentes alterados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'Componentes'!B5</f>
            </strRef>
          </tx>
          <spPr>
            <a:ln>
              <a:prstDash val="solid"/>
            </a:ln>
          </spPr>
          <cat>
            <numRef>
              <f>'Componentes'!$A$6:$A$12</f>
            </numRef>
          </cat>
          <val>
            <numRef>
              <f>'Componentes'!$B$6:$B$12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mponentHeadline" displayName="ComponentHeadline" ref="A5:D6" headerRowCount="1">
  <autoFilter ref="A5:D6"/>
  <tableColumns count="4">
    <tableColumn id="1" name="Linhas analisadas"/>
    <tableColumn id="2" name="Score médio"/>
    <tableColumn id="3" name="Mediana"/>
    <tableColumn id="4" name="SQL sem mudanç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ponentOverallStats" displayName="ComponentOverallStats" ref="A10:J11" headerRowCount="1">
  <autoFilter ref="A10:J11"/>
  <tableColumns count="10">
    <tableColumn id="1" name="Count"/>
    <tableColumn id="2" name="Min"/>
    <tableColumn id="3" name="Max"/>
    <tableColumn id="4" name="Average"/>
    <tableColumn id="5" name="Median"/>
    <tableColumn id="6" name="Std Dev"/>
    <tableColumn id="7" name="P25"/>
    <tableColumn id="8" name="P75"/>
    <tableColumn id="9" name="P90"/>
    <tableColumn id="10" name="P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onentCombinedByLevel" displayName="ComponentCombinedByLevel" ref="A15:F19" headerRowCount="1">
  <autoFilter ref="A15:F19"/>
  <tableColumns count="6">
    <tableColumn id="1" name="Nível"/>
    <tableColumn id="2" name="Count"/>
    <tableColumn id="3" name="Average"/>
    <tableColumn id="4" name="Median"/>
    <tableColumn id="5" name="P90"/>
    <tableColumn id="6" name="P9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ponentByLevel" displayName="ComponentByLevel" ref="A5:K9" headerRowCount="1">
  <autoFilter ref="A5:K9"/>
  <tableColumns count="11">
    <tableColumn id="1" name="Nível"/>
    <tableColumn id="2" name="Count"/>
    <tableColumn id="3" name="Min"/>
    <tableColumn id="4" name="Max"/>
    <tableColumn id="5" name="Average"/>
    <tableColumn id="6" name="Median"/>
    <tableColumn id="7" name="Std Dev"/>
    <tableColumn id="8" name="P25"/>
    <tableColumn id="9" name="P75"/>
    <tableColumn id="10" name="P90"/>
    <tableColumn id="11" name="P9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mponentScoreBands" displayName="ComponentScoreBands" ref="A5:B15" headerRowCount="1">
  <autoFilter ref="A5:B15"/>
  <tableColumns count="2">
    <tableColumn id="1" name="Score Band"/>
    <tableColumn id="2" name="Row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ngedComponentFamilies" displayName="ChangedComponentFamilies" ref="A5:B12" headerRowCount="1">
  <autoFilter ref="A5:B12"/>
  <tableColumns count="2">
    <tableColumn id="1" name="Component Family"/>
    <tableColumn id="2" name="Changed 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nalysisExtremes" displayName="AnalysisExtremes" ref="A5:G25" headerRowCount="1">
  <autoFilter ref="A5:G25"/>
  <tableColumns count="7">
    <tableColumn id="1" name="Grupo"/>
    <tableColumn id="2" name="Rank"/>
    <tableColumn id="3" name="Row Index"/>
    <tableColumn id="4" name="Level"/>
    <tableColumn id="5" name="Components"/>
    <tableColumn id="6" name="Changed"/>
    <tableColumn id="7" name="Sco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nalysisMetadata" displayName="AnalysisMetadata" ref="A5:B10" headerRowCount="1">
  <autoFilter ref="A5:B10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6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Análise de Component Matching — Geo Dataset - AST algorithm augmentation with question paraphrasing</t>
        </is>
      </c>
    </row>
    <row r="3">
      <c r="A3" s="2" t="inlineStr">
        <is>
          <t>Resultados consolidados da análise estrutural dos componentes SQL</t>
        </is>
      </c>
    </row>
    <row r="5">
      <c r="A5" s="3" t="inlineStr">
        <is>
          <t>Linhas analisadas</t>
        </is>
      </c>
      <c r="B5" s="3" t="inlineStr">
        <is>
          <t>Score médio</t>
        </is>
      </c>
      <c r="C5" s="3" t="inlineStr">
        <is>
          <t>Mediana</t>
        </is>
      </c>
      <c r="D5" s="3" t="inlineStr">
        <is>
          <t>SQL sem mudanças</t>
        </is>
      </c>
    </row>
    <row r="6">
      <c r="A6" t="n">
        <v>980</v>
      </c>
      <c r="B6" s="4" t="n">
        <v>0.1134928502674468</v>
      </c>
      <c r="C6" s="4" t="n">
        <v>0.09677419354838709</v>
      </c>
      <c r="D6" t="n">
        <v>99</v>
      </c>
    </row>
    <row r="9">
      <c r="A9" s="5" t="inlineStr">
        <is>
          <t>Estatísticas gerais</t>
        </is>
      </c>
    </row>
    <row r="10">
      <c r="A10" s="3" t="inlineStr">
        <is>
          <t>Count</t>
        </is>
      </c>
      <c r="B10" s="3" t="inlineStr">
        <is>
          <t>Min</t>
        </is>
      </c>
      <c r="C10" s="3" t="inlineStr">
        <is>
          <t>Max</t>
        </is>
      </c>
      <c r="D10" s="3" t="inlineStr">
        <is>
          <t>Average</t>
        </is>
      </c>
      <c r="E10" s="3" t="inlineStr">
        <is>
          <t>Median</t>
        </is>
      </c>
      <c r="F10" s="3" t="inlineStr">
        <is>
          <t>Std Dev</t>
        </is>
      </c>
      <c r="G10" s="3" t="inlineStr">
        <is>
          <t>P25</t>
        </is>
      </c>
      <c r="H10" s="3" t="inlineStr">
        <is>
          <t>P75</t>
        </is>
      </c>
      <c r="I10" s="3" t="inlineStr">
        <is>
          <t>P90</t>
        </is>
      </c>
      <c r="J10" s="3" t="inlineStr">
        <is>
          <t>P95</t>
        </is>
      </c>
    </row>
    <row r="11">
      <c r="A11" t="n">
        <v>980</v>
      </c>
      <c r="B11" s="4" t="n">
        <v>0</v>
      </c>
      <c r="C11" s="4" t="n">
        <v>0.5333333333333333</v>
      </c>
      <c r="D11" s="4" t="n">
        <v>0.1134928502674468</v>
      </c>
      <c r="E11" s="4" t="n">
        <v>0.09677419354838709</v>
      </c>
      <c r="F11" s="4" t="n">
        <v>0.08687179056997328</v>
      </c>
      <c r="G11" s="4" t="n">
        <v>0.05882352941176471</v>
      </c>
      <c r="H11" s="4" t="n">
        <v>0.146641343462615</v>
      </c>
      <c r="I11" s="4" t="n">
        <v>0.2265444015444016</v>
      </c>
      <c r="J11" s="4" t="n">
        <v>0.3076923076923077</v>
      </c>
    </row>
    <row r="14">
      <c r="A14" s="5" t="inlineStr">
        <is>
          <t>Resumo por nível</t>
        </is>
      </c>
    </row>
    <row r="15">
      <c r="A15" s="3" t="inlineStr">
        <is>
          <t>Nível</t>
        </is>
      </c>
      <c r="B15" s="3" t="inlineStr">
        <is>
          <t>Count</t>
        </is>
      </c>
      <c r="C15" s="3" t="inlineStr">
        <is>
          <t>Average</t>
        </is>
      </c>
      <c r="D15" s="3" t="inlineStr">
        <is>
          <t>Median</t>
        </is>
      </c>
      <c r="E15" s="3" t="inlineStr">
        <is>
          <t>P90</t>
        </is>
      </c>
      <c r="F15" s="3" t="inlineStr">
        <is>
          <t>P95</t>
        </is>
      </c>
    </row>
    <row r="16">
      <c r="A16" t="inlineStr">
        <is>
          <t>Facíl</t>
        </is>
      </c>
      <c r="B16" t="n">
        <v>245</v>
      </c>
      <c r="C16" s="4" t="n">
        <v>0.0837639455137927</v>
      </c>
      <c r="D16" s="4" t="n">
        <v>0.07142857142857142</v>
      </c>
      <c r="E16" s="4" t="n">
        <v>0.1666666666666667</v>
      </c>
      <c r="F16" s="4" t="n">
        <v>0.2307692307692308</v>
      </c>
    </row>
    <row r="17">
      <c r="A17" t="inlineStr">
        <is>
          <t>Médio</t>
        </is>
      </c>
      <c r="B17" t="n">
        <v>245</v>
      </c>
      <c r="C17" s="4" t="n">
        <v>0.09592106638603771</v>
      </c>
      <c r="D17" s="4" t="n">
        <v>0.09259259259259259</v>
      </c>
      <c r="E17" s="4" t="n">
        <v>0.1666666666666667</v>
      </c>
      <c r="F17" s="4" t="n">
        <v>0.1815201192250372</v>
      </c>
    </row>
    <row r="18">
      <c r="A18" t="inlineStr">
        <is>
          <t>Difícil</t>
        </is>
      </c>
      <c r="B18" t="n">
        <v>245</v>
      </c>
      <c r="C18" s="4" t="n">
        <v>0.1247789280720255</v>
      </c>
      <c r="D18" s="4" t="n">
        <v>0.103448275862069</v>
      </c>
      <c r="E18" s="4" t="n">
        <v>0.208955223880597</v>
      </c>
      <c r="F18" s="4" t="n">
        <v>0.2408610567514675</v>
      </c>
    </row>
    <row r="19">
      <c r="A19" t="inlineStr">
        <is>
          <t>Muito Difícil</t>
        </is>
      </c>
      <c r="B19" t="n">
        <v>245</v>
      </c>
      <c r="C19" s="4" t="n">
        <v>0.1495074610979311</v>
      </c>
      <c r="D19" s="4" t="n">
        <v>0.1071428571428571</v>
      </c>
      <c r="E19" s="4" t="n">
        <v>0.35</v>
      </c>
      <c r="F19" s="4" t="n">
        <v>0.3636363636363636</v>
      </c>
    </row>
  </sheetData>
  <mergeCells count="4">
    <mergeCell ref="A14:F14"/>
    <mergeCell ref="A3:L3"/>
    <mergeCell ref="A9:J9"/>
    <mergeCell ref="A1:L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" t="inlineStr">
        <is>
          <t>Estatísticas por nível</t>
        </is>
      </c>
    </row>
    <row r="3">
      <c r="A3" s="2" t="inlineStr">
        <is>
          <t>Comparação das distribuições de component_matching_score</t>
        </is>
      </c>
    </row>
    <row r="5">
      <c r="A5" s="3" t="inlineStr">
        <is>
          <t>Nível</t>
        </is>
      </c>
      <c r="B5" s="3" t="inlineStr">
        <is>
          <t>Count</t>
        </is>
      </c>
      <c r="C5" s="3" t="inlineStr">
        <is>
          <t>Min</t>
        </is>
      </c>
      <c r="D5" s="3" t="inlineStr">
        <is>
          <t>Max</t>
        </is>
      </c>
      <c r="E5" s="3" t="inlineStr">
        <is>
          <t>Average</t>
        </is>
      </c>
      <c r="F5" s="3" t="inlineStr">
        <is>
          <t>Median</t>
        </is>
      </c>
      <c r="G5" s="3" t="inlineStr">
        <is>
          <t>Std Dev</t>
        </is>
      </c>
      <c r="H5" s="3" t="inlineStr">
        <is>
          <t>P25</t>
        </is>
      </c>
      <c r="I5" s="3" t="inlineStr">
        <is>
          <t>P75</t>
        </is>
      </c>
      <c r="J5" s="3" t="inlineStr">
        <is>
          <t>P90</t>
        </is>
      </c>
      <c r="K5" s="3" t="inlineStr">
        <is>
          <t>P95</t>
        </is>
      </c>
    </row>
    <row r="6">
      <c r="A6" t="inlineStr">
        <is>
          <t>Facíl</t>
        </is>
      </c>
      <c r="B6" t="n">
        <v>245</v>
      </c>
      <c r="C6" s="4" t="n">
        <v>0</v>
      </c>
      <c r="D6" s="4" t="n">
        <v>0.4</v>
      </c>
      <c r="E6" s="4" t="n">
        <v>0.0837639455137927</v>
      </c>
      <c r="F6" s="4" t="n">
        <v>0.07142857142857142</v>
      </c>
      <c r="G6" s="4" t="n">
        <v>0.06889675956401778</v>
      </c>
      <c r="H6" s="4" t="n">
        <v>0.04761904761904762</v>
      </c>
      <c r="I6" s="4" t="n">
        <v>0.1176470588235294</v>
      </c>
      <c r="J6" s="4" t="n">
        <v>0.1666666666666667</v>
      </c>
      <c r="K6" s="4" t="n">
        <v>0.2307692307692308</v>
      </c>
    </row>
    <row r="7">
      <c r="A7" t="inlineStr">
        <is>
          <t>Médio</t>
        </is>
      </c>
      <c r="B7" t="n">
        <v>245</v>
      </c>
      <c r="C7" s="4" t="n">
        <v>0</v>
      </c>
      <c r="D7" s="4" t="n">
        <v>0.2564102564102564</v>
      </c>
      <c r="E7" s="4" t="n">
        <v>0.09592106638603771</v>
      </c>
      <c r="F7" s="4" t="n">
        <v>0.09259259259259259</v>
      </c>
      <c r="G7" s="4" t="n">
        <v>0.05419483223556716</v>
      </c>
      <c r="H7" s="4" t="n">
        <v>0.05882352941176471</v>
      </c>
      <c r="I7" s="4" t="n">
        <v>0.1282051282051282</v>
      </c>
      <c r="J7" s="4" t="n">
        <v>0.1666666666666667</v>
      </c>
      <c r="K7" s="4" t="n">
        <v>0.1815201192250372</v>
      </c>
    </row>
    <row r="8">
      <c r="A8" t="inlineStr">
        <is>
          <t>Difícil</t>
        </is>
      </c>
      <c r="B8" t="n">
        <v>245</v>
      </c>
      <c r="C8" s="4" t="n">
        <v>0</v>
      </c>
      <c r="D8" s="4" t="n">
        <v>0.4489795918367347</v>
      </c>
      <c r="E8" s="4" t="n">
        <v>0.1247789280720255</v>
      </c>
      <c r="F8" s="4" t="n">
        <v>0.103448275862069</v>
      </c>
      <c r="G8" s="4" t="n">
        <v>0.07802618751970694</v>
      </c>
      <c r="H8" s="4" t="n">
        <v>0.07272727272727272</v>
      </c>
      <c r="I8" s="4" t="n">
        <v>0.15625</v>
      </c>
      <c r="J8" s="4" t="n">
        <v>0.208955223880597</v>
      </c>
      <c r="K8" s="4" t="n">
        <v>0.2408610567514675</v>
      </c>
    </row>
    <row r="9">
      <c r="A9" t="inlineStr">
        <is>
          <t>Muito Difícil</t>
        </is>
      </c>
      <c r="B9" t="n">
        <v>245</v>
      </c>
      <c r="C9" s="4" t="n">
        <v>0</v>
      </c>
      <c r="D9" s="4" t="n">
        <v>0.5333333333333333</v>
      </c>
      <c r="E9" s="4" t="n">
        <v>0.1495074610979311</v>
      </c>
      <c r="F9" s="4" t="n">
        <v>0.1071428571428571</v>
      </c>
      <c r="G9" s="4" t="n">
        <v>0.117464461080364</v>
      </c>
      <c r="H9" s="4" t="n">
        <v>0.06896551724137931</v>
      </c>
      <c r="I9" s="4" t="n">
        <v>0.2352941176470588</v>
      </c>
      <c r="J9" s="4" t="n">
        <v>0.35</v>
      </c>
      <c r="K9" s="4" t="n">
        <v>0.3636363636363636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 ht="28" customHeight="1">
      <c r="A1" s="1" t="inlineStr">
        <is>
          <t>Distribuição por faixas de score</t>
        </is>
      </c>
    </row>
    <row r="3">
      <c r="A3" s="2" t="inlineStr">
        <is>
          <t>Contagem de linhas em cada intervalo</t>
        </is>
      </c>
    </row>
    <row r="5">
      <c r="A5" s="3" t="inlineStr">
        <is>
          <t>Score Band</t>
        </is>
      </c>
      <c r="B5" s="3" t="inlineStr">
        <is>
          <t>Rows</t>
        </is>
      </c>
    </row>
    <row r="6">
      <c r="A6" t="inlineStr">
        <is>
          <t>[0.0, 0.1)</t>
        </is>
      </c>
      <c r="B6" t="n">
        <v>494</v>
      </c>
    </row>
    <row r="7">
      <c r="A7" t="inlineStr">
        <is>
          <t>[0.1, 0.2)</t>
        </is>
      </c>
      <c r="B7" t="n">
        <v>352</v>
      </c>
    </row>
    <row r="8">
      <c r="A8" t="inlineStr">
        <is>
          <t>[0.2, 0.3)</t>
        </is>
      </c>
      <c r="B8" t="n">
        <v>79</v>
      </c>
    </row>
    <row r="9">
      <c r="A9" t="inlineStr">
        <is>
          <t>[0.3, 0.4)</t>
        </is>
      </c>
      <c r="B9" t="n">
        <v>48</v>
      </c>
    </row>
    <row r="10">
      <c r="A10" t="inlineStr">
        <is>
          <t>[0.4, 0.5)</t>
        </is>
      </c>
      <c r="B10" t="n">
        <v>5</v>
      </c>
    </row>
    <row r="11">
      <c r="A11" t="inlineStr">
        <is>
          <t>[0.5, 0.6)</t>
        </is>
      </c>
      <c r="B11" t="n">
        <v>2</v>
      </c>
    </row>
    <row r="12">
      <c r="A12" t="inlineStr">
        <is>
          <t>[0.6, 0.7)</t>
        </is>
      </c>
      <c r="B12" t="n">
        <v>0</v>
      </c>
    </row>
    <row r="13">
      <c r="A13" t="inlineStr">
        <is>
          <t>[0.7, 0.8)</t>
        </is>
      </c>
      <c r="B13" t="n">
        <v>0</v>
      </c>
    </row>
    <row r="14">
      <c r="A14" t="inlineStr">
        <is>
          <t>[0.8, 0.9)</t>
        </is>
      </c>
      <c r="B14" t="n">
        <v>0</v>
      </c>
    </row>
    <row r="15">
      <c r="A15" t="inlineStr">
        <is>
          <t>[0.9, 1.0]</t>
        </is>
      </c>
      <c r="B15" t="n">
        <v>0</v>
      </c>
    </row>
  </sheetData>
  <mergeCells count="2">
    <mergeCell ref="A3:L3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8" customHeight="1">
      <c r="A1" s="1" t="inlineStr">
        <is>
          <t>Famílias de componentes alteradas</t>
        </is>
      </c>
    </row>
    <row r="3">
      <c r="A3" s="2" t="inlineStr">
        <is>
          <t>Frequência de mudança por família do AST normalizado</t>
        </is>
      </c>
    </row>
    <row r="5">
      <c r="A5" s="3" t="inlineStr">
        <is>
          <t>Component Family</t>
        </is>
      </c>
      <c r="B5" s="3" t="inlineStr">
        <is>
          <t>Changed Count</t>
        </is>
      </c>
    </row>
    <row r="6">
      <c r="A6" t="inlineStr">
        <is>
          <t>predicate</t>
        </is>
      </c>
      <c r="B6" t="n">
        <v>1414</v>
      </c>
    </row>
    <row r="7">
      <c r="A7" t="inlineStr">
        <is>
          <t>spatial_function</t>
        </is>
      </c>
      <c r="B7" t="n">
        <v>1153</v>
      </c>
    </row>
    <row r="8">
      <c r="A8" t="inlineStr">
        <is>
          <t>aggregation</t>
        </is>
      </c>
      <c r="B8" t="n">
        <v>553</v>
      </c>
    </row>
    <row r="9">
      <c r="A9" t="inlineStr">
        <is>
          <t>select</t>
        </is>
      </c>
      <c r="B9" t="n">
        <v>540</v>
      </c>
    </row>
    <row r="10">
      <c r="A10" t="inlineStr">
        <is>
          <t>group_by</t>
        </is>
      </c>
      <c r="B10" t="n">
        <v>12</v>
      </c>
    </row>
    <row r="11">
      <c r="A11" t="inlineStr">
        <is>
          <t>table</t>
        </is>
      </c>
      <c r="B11" t="n">
        <v>6</v>
      </c>
    </row>
    <row r="12">
      <c r="A12" t="inlineStr">
        <is>
          <t>join</t>
        </is>
      </c>
      <c r="B12" t="n">
        <v>1</v>
      </c>
    </row>
  </sheetData>
  <mergeCells count="2">
    <mergeCell ref="A3:L3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0" customWidth="1" min="4" max="4"/>
    <col width="16" customWidth="1" min="5" max="5"/>
    <col width="14" customWidth="1" min="6" max="6"/>
    <col width="16" customWidth="1" min="7" max="7"/>
  </cols>
  <sheetData>
    <row r="1" ht="28" customHeight="1">
      <c r="A1" s="1" t="inlineStr">
        <is>
          <t>Menores e maiores scores</t>
        </is>
      </c>
    </row>
    <row r="3">
      <c r="A3" s="2" t="inlineStr">
        <is>
          <t>Linhas com menor e maior variação estrutural</t>
        </is>
      </c>
    </row>
    <row r="5">
      <c r="A5" s="3" t="inlineStr">
        <is>
          <t>Grupo</t>
        </is>
      </c>
      <c r="B5" s="3" t="inlineStr">
        <is>
          <t>Rank</t>
        </is>
      </c>
      <c r="C5" s="3" t="inlineStr">
        <is>
          <t>Row Index</t>
        </is>
      </c>
      <c r="D5" s="3" t="inlineStr">
        <is>
          <t>Level</t>
        </is>
      </c>
      <c r="E5" s="3" t="inlineStr">
        <is>
          <t>Components</t>
        </is>
      </c>
      <c r="F5" s="3" t="inlineStr">
        <is>
          <t>Changed</t>
        </is>
      </c>
      <c r="G5" s="3" t="inlineStr">
        <is>
          <t>Score</t>
        </is>
      </c>
    </row>
    <row r="6">
      <c r="A6" t="inlineStr">
        <is>
          <t>Menor</t>
        </is>
      </c>
      <c r="B6" t="n">
        <v>1</v>
      </c>
      <c r="C6" t="n">
        <v>3</v>
      </c>
      <c r="D6" t="inlineStr">
        <is>
          <t>Facíl</t>
        </is>
      </c>
      <c r="E6" t="n">
        <v>18</v>
      </c>
      <c r="F6" t="n">
        <v>0</v>
      </c>
      <c r="G6" s="4" t="n">
        <v>0</v>
      </c>
    </row>
    <row r="7">
      <c r="A7" t="inlineStr">
        <is>
          <t>Menor</t>
        </is>
      </c>
      <c r="B7" t="n">
        <v>2</v>
      </c>
      <c r="C7" t="n">
        <v>4</v>
      </c>
      <c r="D7" t="inlineStr">
        <is>
          <t>Facíl</t>
        </is>
      </c>
      <c r="E7" t="n">
        <v>14</v>
      </c>
      <c r="F7" t="n">
        <v>0</v>
      </c>
      <c r="G7" s="4" t="n">
        <v>0</v>
      </c>
    </row>
    <row r="8">
      <c r="A8" t="inlineStr">
        <is>
          <t>Menor</t>
        </is>
      </c>
      <c r="B8" t="n">
        <v>3</v>
      </c>
      <c r="C8" t="n">
        <v>9</v>
      </c>
      <c r="D8" t="inlineStr">
        <is>
          <t>Facíl</t>
        </is>
      </c>
      <c r="E8" t="n">
        <v>14</v>
      </c>
      <c r="F8" t="n">
        <v>0</v>
      </c>
      <c r="G8" s="4" t="n">
        <v>0</v>
      </c>
    </row>
    <row r="9">
      <c r="A9" t="inlineStr">
        <is>
          <t>Menor</t>
        </is>
      </c>
      <c r="B9" t="n">
        <v>4</v>
      </c>
      <c r="C9" t="n">
        <v>15</v>
      </c>
      <c r="D9" t="inlineStr">
        <is>
          <t>Facíl</t>
        </is>
      </c>
      <c r="E9" t="n">
        <v>14</v>
      </c>
      <c r="F9" t="n">
        <v>0</v>
      </c>
      <c r="G9" s="4" t="n">
        <v>0</v>
      </c>
    </row>
    <row r="10">
      <c r="A10" t="inlineStr">
        <is>
          <t>Menor</t>
        </is>
      </c>
      <c r="B10" t="n">
        <v>5</v>
      </c>
      <c r="C10" t="n">
        <v>16</v>
      </c>
      <c r="D10" t="inlineStr">
        <is>
          <t>Facíl</t>
        </is>
      </c>
      <c r="E10" t="n">
        <v>13</v>
      </c>
      <c r="F10" t="n">
        <v>0</v>
      </c>
      <c r="G10" s="4" t="n">
        <v>0</v>
      </c>
    </row>
    <row r="11">
      <c r="A11" t="inlineStr">
        <is>
          <t>Menor</t>
        </is>
      </c>
      <c r="B11" t="n">
        <v>6</v>
      </c>
      <c r="C11" t="n">
        <v>19</v>
      </c>
      <c r="D11" t="inlineStr">
        <is>
          <t>Facíl</t>
        </is>
      </c>
      <c r="E11" t="n">
        <v>14</v>
      </c>
      <c r="F11" t="n">
        <v>0</v>
      </c>
      <c r="G11" s="4" t="n">
        <v>0</v>
      </c>
    </row>
    <row r="12">
      <c r="A12" t="inlineStr">
        <is>
          <t>Menor</t>
        </is>
      </c>
      <c r="B12" t="n">
        <v>7</v>
      </c>
      <c r="C12" t="n">
        <v>105</v>
      </c>
      <c r="D12" t="inlineStr">
        <is>
          <t>Muito Difícil</t>
        </is>
      </c>
      <c r="E12" t="n">
        <v>23</v>
      </c>
      <c r="F12" t="n">
        <v>0</v>
      </c>
      <c r="G12" s="4" t="n">
        <v>0</v>
      </c>
    </row>
    <row r="13">
      <c r="A13" t="inlineStr">
        <is>
          <t>Menor</t>
        </is>
      </c>
      <c r="B13" t="n">
        <v>8</v>
      </c>
      <c r="C13" t="n">
        <v>107</v>
      </c>
      <c r="D13" t="inlineStr">
        <is>
          <t>Muito Difícil</t>
        </is>
      </c>
      <c r="E13" t="n">
        <v>21</v>
      </c>
      <c r="F13" t="n">
        <v>0</v>
      </c>
      <c r="G13" s="4" t="n">
        <v>0</v>
      </c>
    </row>
    <row r="14">
      <c r="A14" t="inlineStr">
        <is>
          <t>Menor</t>
        </is>
      </c>
      <c r="B14" t="n">
        <v>9</v>
      </c>
      <c r="C14" t="n">
        <v>112</v>
      </c>
      <c r="D14" t="inlineStr">
        <is>
          <t>Muito Difícil</t>
        </is>
      </c>
      <c r="E14" t="n">
        <v>16</v>
      </c>
      <c r="F14" t="n">
        <v>0</v>
      </c>
      <c r="G14" s="4" t="n">
        <v>0</v>
      </c>
    </row>
    <row r="15">
      <c r="A15" t="inlineStr">
        <is>
          <t>Menor</t>
        </is>
      </c>
      <c r="B15" t="n">
        <v>10</v>
      </c>
      <c r="C15" t="n">
        <v>114</v>
      </c>
      <c r="D15" t="inlineStr">
        <is>
          <t>Muito Difícil</t>
        </is>
      </c>
      <c r="E15" t="n">
        <v>27</v>
      </c>
      <c r="F15" t="n">
        <v>0</v>
      </c>
      <c r="G15" s="4" t="n">
        <v>0</v>
      </c>
    </row>
    <row r="16">
      <c r="A16" t="inlineStr">
        <is>
          <t>Maior</t>
        </is>
      </c>
      <c r="B16" t="n">
        <v>1</v>
      </c>
      <c r="C16" t="n">
        <v>816</v>
      </c>
      <c r="D16" t="inlineStr">
        <is>
          <t>Muito Difícil</t>
        </is>
      </c>
      <c r="E16" t="n">
        <v>15</v>
      </c>
      <c r="F16" t="n">
        <v>8</v>
      </c>
      <c r="G16" s="4" t="n">
        <v>0.5333333333333333</v>
      </c>
    </row>
    <row r="17">
      <c r="A17" t="inlineStr">
        <is>
          <t>Maior</t>
        </is>
      </c>
      <c r="B17" t="n">
        <v>2</v>
      </c>
      <c r="C17" t="n">
        <v>815</v>
      </c>
      <c r="D17" t="inlineStr">
        <is>
          <t>Muito Difícil</t>
        </is>
      </c>
      <c r="E17" t="n">
        <v>12</v>
      </c>
      <c r="F17" t="n">
        <v>6</v>
      </c>
      <c r="G17" s="4" t="n">
        <v>0.5</v>
      </c>
    </row>
    <row r="18">
      <c r="A18" t="inlineStr">
        <is>
          <t>Maior</t>
        </is>
      </c>
      <c r="B18" t="n">
        <v>3</v>
      </c>
      <c r="C18" t="n">
        <v>931</v>
      </c>
      <c r="D18" t="inlineStr">
        <is>
          <t>Difícil</t>
        </is>
      </c>
      <c r="E18" t="n">
        <v>49</v>
      </c>
      <c r="F18" t="n">
        <v>22</v>
      </c>
      <c r="G18" s="4" t="n">
        <v>0.4489795918367347</v>
      </c>
    </row>
    <row r="19">
      <c r="A19" t="inlineStr">
        <is>
          <t>Maior</t>
        </is>
      </c>
      <c r="B19" t="n">
        <v>4</v>
      </c>
      <c r="C19" t="n">
        <v>939</v>
      </c>
      <c r="D19" t="inlineStr">
        <is>
          <t>Difícil</t>
        </is>
      </c>
      <c r="E19" t="n">
        <v>52</v>
      </c>
      <c r="F19" t="n">
        <v>22</v>
      </c>
      <c r="G19" s="4" t="n">
        <v>0.4230769230769231</v>
      </c>
    </row>
    <row r="20">
      <c r="A20" t="inlineStr">
        <is>
          <t>Maior</t>
        </is>
      </c>
      <c r="B20" t="n">
        <v>5</v>
      </c>
      <c r="C20" t="n">
        <v>935</v>
      </c>
      <c r="D20" t="inlineStr">
        <is>
          <t>Difícil</t>
        </is>
      </c>
      <c r="E20" t="n">
        <v>52</v>
      </c>
      <c r="F20" t="n">
        <v>22</v>
      </c>
      <c r="G20" s="4" t="n">
        <v>0.4230769230769231</v>
      </c>
    </row>
    <row r="21">
      <c r="A21" t="inlineStr">
        <is>
          <t>Maior</t>
        </is>
      </c>
      <c r="B21" t="n">
        <v>6</v>
      </c>
      <c r="C21" t="n">
        <v>934</v>
      </c>
      <c r="D21" t="inlineStr">
        <is>
          <t>Difícil</t>
        </is>
      </c>
      <c r="E21" t="n">
        <v>52</v>
      </c>
      <c r="F21" t="n">
        <v>22</v>
      </c>
      <c r="G21" s="4" t="n">
        <v>0.4230769230769231</v>
      </c>
    </row>
    <row r="22">
      <c r="A22" t="inlineStr">
        <is>
          <t>Maior</t>
        </is>
      </c>
      <c r="B22" t="n">
        <v>7</v>
      </c>
      <c r="C22" t="n">
        <v>5</v>
      </c>
      <c r="D22" t="inlineStr">
        <is>
          <t>Facíl</t>
        </is>
      </c>
      <c r="E22" t="n">
        <v>25</v>
      </c>
      <c r="F22" t="n">
        <v>10</v>
      </c>
      <c r="G22" s="4" t="n">
        <v>0.4</v>
      </c>
    </row>
    <row r="23">
      <c r="A23" t="inlineStr">
        <is>
          <t>Maior</t>
        </is>
      </c>
      <c r="B23" t="n">
        <v>8</v>
      </c>
      <c r="C23" t="n">
        <v>944</v>
      </c>
      <c r="D23" t="inlineStr">
        <is>
          <t>Difícil</t>
        </is>
      </c>
      <c r="E23" t="n">
        <v>61</v>
      </c>
      <c r="F23" t="n">
        <v>24</v>
      </c>
      <c r="G23" s="4" t="n">
        <v>0.3934426229508197</v>
      </c>
    </row>
    <row r="24">
      <c r="A24" t="inlineStr">
        <is>
          <t>Maior</t>
        </is>
      </c>
      <c r="B24" t="n">
        <v>9</v>
      </c>
      <c r="C24" t="n">
        <v>941</v>
      </c>
      <c r="D24" t="inlineStr">
        <is>
          <t>Difícil</t>
        </is>
      </c>
      <c r="E24" t="n">
        <v>58</v>
      </c>
      <c r="F24" t="n">
        <v>22</v>
      </c>
      <c r="G24" s="4" t="n">
        <v>0.3793103448275862</v>
      </c>
    </row>
    <row r="25">
      <c r="A25" t="inlineStr">
        <is>
          <t>Maior</t>
        </is>
      </c>
      <c r="B25" t="n">
        <v>10</v>
      </c>
      <c r="C25" t="n">
        <v>975</v>
      </c>
      <c r="D25" t="inlineStr">
        <is>
          <t>Muito Difícil</t>
        </is>
      </c>
      <c r="E25" t="n">
        <v>8</v>
      </c>
      <c r="F25" t="n">
        <v>3</v>
      </c>
      <c r="G25" s="4" t="n">
        <v>0.375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8" customHeight="1">
      <c r="A1" s="1" t="inlineStr">
        <is>
          <t>Metadados, definição e limitações</t>
        </is>
      </c>
    </row>
    <row r="3">
      <c r="A3" s="2" t="inlineStr">
        <is>
          <t>Configuração, definição da métrica e limitações</t>
        </is>
      </c>
    </row>
    <row r="5">
      <c r="A5" s="3" t="inlineStr">
        <is>
          <t>Campo</t>
        </is>
      </c>
      <c r="B5" s="3" t="inlineStr">
        <is>
          <t>Valor</t>
        </is>
      </c>
    </row>
    <row r="6">
      <c r="A6" t="inlineStr">
        <is>
          <t>Generated at</t>
        </is>
      </c>
      <c r="B6" s="6" t="n">
        <v>46246.77472222222</v>
      </c>
    </row>
    <row r="7">
      <c r="A7" t="inlineStr">
        <is>
          <t>Input</t>
        </is>
      </c>
      <c r="B7" t="inlineStr">
        <is>
          <t>/home/ioolliver/Workspace/ast-driven-data-augmentation-algorithm/data/geo_dataset/augmentation_method_results/geo_dataset_algorithm_with_paraphrasing_augmented.json</t>
        </is>
      </c>
    </row>
    <row r="8">
      <c r="A8" t="inlineStr">
        <is>
          <t>Rows analyzed</t>
        </is>
      </c>
      <c r="B8" t="n">
        <v>980</v>
      </c>
    </row>
    <row r="9">
      <c r="A9" t="inlineStr">
        <is>
          <t>SQL dialect</t>
        </is>
      </c>
      <c r="B9" t="inlineStr">
        <is>
          <t>postgres</t>
        </is>
      </c>
    </row>
    <row r="10">
      <c r="A10" t="inlineStr">
        <is>
          <t>Score formula</t>
        </is>
      </c>
      <c r="B10" t="inlineStr">
        <is>
          <t>changed_component_count / component_total</t>
        </is>
      </c>
    </row>
    <row r="13">
      <c r="A13" s="5" t="inlineStr">
        <is>
          <t>Definição</t>
        </is>
      </c>
    </row>
    <row r="14">
      <c r="A14" s="7" t="inlineStr">
        <is>
          <t>component_matching_score is the share of normalized SQL AST component slots that changed between the original and augmented SQL.</t>
        </is>
      </c>
    </row>
    <row r="15"/>
    <row r="16"/>
    <row r="18">
      <c r="A18" s="5" t="inlineStr">
        <is>
          <t>Limitação</t>
        </is>
      </c>
    </row>
    <row r="19">
      <c r="A19" s="7" t="inlineStr">
        <is>
          <t>This score is a structural-change heuristic. It does not prove SQL correctness, behavioral equivalence, or natural-language alignment.</t>
        </is>
      </c>
    </row>
    <row r="20"/>
    <row r="21"/>
    <row r="22"/>
  </sheetData>
  <mergeCells count="6">
    <mergeCell ref="A1:J1"/>
    <mergeCell ref="A19:J22"/>
    <mergeCell ref="A18:J18"/>
    <mergeCell ref="A3:J3"/>
    <mergeCell ref="A14:J16"/>
    <mergeCell ref="A13:J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2026-08-12T18:35:36Z</dcterms:created>
  <dcterms:modified xsi:type="dcterms:W3CDTF">2026-08-12T18:35:36Z</dcterms:modified>
</cp:coreProperties>
</file>